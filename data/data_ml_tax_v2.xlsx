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station\gelirbutce\MM_GelirButce\data\"/>
    </mc:Choice>
  </mc:AlternateContent>
  <bookViews>
    <workbookView xWindow="0" yWindow="0" windowWidth="28800" windowHeight="11880" activeTab="3"/>
  </bookViews>
  <sheets>
    <sheet name="PIT" sheetId="7" r:id="rId1"/>
    <sheet name="CIT" sheetId="6" r:id="rId2"/>
    <sheet name="Import VAT" sheetId="1" r:id="rId3"/>
    <sheet name="Domestic VAT" sheetId="2" r:id="rId4"/>
    <sheet name="Petroleum SCT" sheetId="3" r:id="rId5"/>
    <sheet name="Tobacco SCT" sheetId="4" r:id="rId6"/>
    <sheet name="Motor Vehicles SCT" sheetId="5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7" i="2" l="1"/>
  <c r="B31" i="6"/>
  <c r="B30" i="6"/>
  <c r="B27" i="6"/>
  <c r="B26" i="6"/>
  <c r="B76" i="2" l="1"/>
  <c r="B75" i="2"/>
  <c r="B74" i="2"/>
  <c r="B11" i="6" l="1"/>
  <c r="B12" i="6"/>
  <c r="B5" i="2"/>
  <c r="B4" i="2"/>
  <c r="B11" i="7"/>
  <c r="B13" i="7"/>
</calcChain>
</file>

<file path=xl/comments1.xml><?xml version="1.0" encoding="utf-8"?>
<comments xmlns="http://schemas.openxmlformats.org/spreadsheetml/2006/main">
  <authors>
    <author>kursad_admin</author>
  </authors>
  <commentList>
    <comment ref="B1" authorId="0" shapeId="0">
      <text>
        <r>
          <rPr>
            <b/>
            <sz val="9"/>
            <color indexed="81"/>
            <rFont val="Tahoma"/>
            <charset val="1"/>
          </rPr>
          <t>kursad_admin:</t>
        </r>
        <r>
          <rPr>
            <sz val="9"/>
            <color indexed="81"/>
            <rFont val="Tahoma"/>
            <charset val="1"/>
          </rPr>
          <t xml:space="preserve">
Brut KDV</t>
        </r>
      </text>
    </comment>
  </commentList>
</comments>
</file>

<file path=xl/sharedStrings.xml><?xml version="1.0" encoding="utf-8"?>
<sst xmlns="http://schemas.openxmlformats.org/spreadsheetml/2006/main" count="114" uniqueCount="73">
  <si>
    <t>Period</t>
  </si>
  <si>
    <t>Cons_Diesel</t>
  </si>
  <si>
    <t>Cons_Gasoline</t>
  </si>
  <si>
    <t>Tax_PIT</t>
  </si>
  <si>
    <t>Tax_CIT</t>
  </si>
  <si>
    <t>Deposit_Vol</t>
  </si>
  <si>
    <t>Deposit_Int_Rt</t>
  </si>
  <si>
    <t>Employee_Vol</t>
  </si>
  <si>
    <t>Salary_Inx</t>
  </si>
  <si>
    <t>Man_Prod_Inx</t>
  </si>
  <si>
    <t>Trade_Vol_Inx</t>
  </si>
  <si>
    <t>Reel_Sector_Tax_Rt</t>
  </si>
  <si>
    <t>Banking_Int_Rate_Margin</t>
  </si>
  <si>
    <t>Banking_Sector_Tax_Rt</t>
  </si>
  <si>
    <t>Tax_Import_VAT</t>
  </si>
  <si>
    <t>Tax_Total_SCT</t>
  </si>
  <si>
    <t>Tax_Tobacco_SCT</t>
  </si>
  <si>
    <t>Tax_Petrelum_SCT</t>
  </si>
  <si>
    <t>Tax_Motor_Vehicle_SCT</t>
  </si>
  <si>
    <t>Tax_Domestic_VAT</t>
  </si>
  <si>
    <t>Fix_Tax_Gasoline</t>
  </si>
  <si>
    <t>Fix_Tax_Diesel</t>
  </si>
  <si>
    <t>Cons_Tobacco</t>
  </si>
  <si>
    <t>Advolorem_Tax_Tobacco</t>
  </si>
  <si>
    <t>Motor_Vehicle_Sales_Vol</t>
  </si>
  <si>
    <t>Motor_Vehicle_Average_Tax_Base</t>
  </si>
  <si>
    <t>Motor_Vehicle_Effective_Tax_Rt</t>
  </si>
  <si>
    <t>Electrical_Vehicle_Sales_Vol</t>
  </si>
  <si>
    <t>Electrical_Vehicle_Average_Tax_Base</t>
  </si>
  <si>
    <t>Electrical_Vehicle_Effective_Tax_Rt</t>
  </si>
  <si>
    <t>Import_ExcGOLD_USD_Vol</t>
  </si>
  <si>
    <t>Import_VAT_Effective_Tax_Rt</t>
  </si>
  <si>
    <t>Ave_Dolar_Exc_Rt</t>
  </si>
  <si>
    <t>CPI_Inx</t>
  </si>
  <si>
    <t>CreditCart_Usage_Vol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</si>
  <si>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</si>
  <si>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</si>
  <si>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</si>
  <si>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</si>
  <si>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</si>
  <si>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</si>
  <si>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</si>
  <si>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</si>
  <si>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</si>
  <si>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</si>
  <si>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</si>
  <si>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</si>
  <si>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</si>
  <si>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</si>
  <si>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</si>
  <si>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</si>
  <si>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</si>
  <si>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</si>
  <si>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</si>
  <si>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</si>
  <si>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</si>
  <si>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</si>
  <si>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</si>
  <si>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</si>
  <si>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</si>
  <si>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</si>
  <si>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</si>
  <si>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</si>
  <si>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</si>
  <si>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</si>
  <si>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</si>
  <si>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</si>
  <si>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</si>
  <si>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Sliding_Scale_Mech</t>
  </si>
  <si>
    <t>Average_Price_Pack_Cigarette</t>
  </si>
  <si>
    <t>Specific_Tax_Tobacco</t>
  </si>
  <si>
    <t>Additional_Revenue</t>
  </si>
  <si>
    <t>Min_Specific_Tax_Tobacco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</si>
</sst>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70" formatCode="0.0000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0"/>
      <name val="Arial Tur"/>
      <charset val="162"/>
    </font>
    <font>
      <b/>
      <sz val="11"/>
      <color theme="1"/>
      <name val="Calibri"/>
      <family val="2"/>
      <charset val="16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/>
    <xf numFmtId="17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2" fontId="0" fillId="0" borderId="0" xfId="0" applyNumberFormat="1"/>
    <xf numFmtId="3" fontId="0" fillId="0" borderId="0" xfId="0" applyNumberFormat="1"/>
    <xf numFmtId="4" fontId="0" fillId="0" borderId="0" xfId="0" applyNumberFormat="1"/>
    <xf numFmtId="2" fontId="0" fillId="0" borderId="0" xfId="3" applyNumberFormat="1" applyFont="1"/>
    <xf numFmtId="17" fontId="0" fillId="0" borderId="0" xfId="0" applyNumberForma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" fontId="0" fillId="0" borderId="0" xfId="0" applyNumberFormat="1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4" fontId="0" fillId="0" borderId="0" xfId="0" applyNumberFormat="1" applyFill="1" applyBorder="1" applyAlignment="1">
      <alignment horizontal="center"/>
    </xf>
    <xf numFmtId="3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3" fontId="0" fillId="2" borderId="0" xfId="0" applyNumberFormat="1" applyFill="1"/>
    <xf numFmtId="164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3" fontId="0" fillId="2" borderId="0" xfId="0" applyNumberFormat="1" applyFill="1" applyBorder="1" applyAlignment="1">
      <alignment horizontal="center"/>
    </xf>
    <xf numFmtId="2" fontId="0" fillId="2" borderId="0" xfId="0" applyNumberFormat="1" applyFill="1"/>
  </cellXfs>
  <cellStyles count="4">
    <cellStyle name="Normal" xfId="0" builtinId="0"/>
    <cellStyle name="Normal 18" xfId="1"/>
    <cellStyle name="Normal 4" xfId="2"/>
    <cellStyle name="Yüzd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W5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8" sqref="G18"/>
    </sheetView>
  </sheetViews>
  <sheetFormatPr defaultRowHeight="14.4" x14ac:dyDescent="0.3"/>
  <cols>
    <col min="2" max="6" width="18" customWidth="1"/>
    <col min="7" max="7" width="16.6640625" customWidth="1"/>
  </cols>
  <sheetData>
    <row r="1" spans="1:7" ht="27" customHeight="1" x14ac:dyDescent="0.3">
      <c r="A1" s="11" t="s">
        <v>0</v>
      </c>
      <c r="B1" s="12" t="s">
        <v>3</v>
      </c>
      <c r="C1" s="12" t="s">
        <v>8</v>
      </c>
      <c r="D1" s="12" t="s">
        <v>7</v>
      </c>
      <c r="E1" s="12" t="s">
        <v>5</v>
      </c>
      <c r="F1" s="12" t="s">
        <v>6</v>
      </c>
    </row>
    <row r="2" spans="1:7" s="3" customFormat="1" x14ac:dyDescent="0.3">
      <c r="A2" s="13" t="s">
        <v>35</v>
      </c>
      <c r="B2" s="14">
        <v>27151641</v>
      </c>
      <c r="C2" s="15">
        <v>55.077816183699703</v>
      </c>
      <c r="D2" s="14">
        <v>84417</v>
      </c>
      <c r="E2" s="14">
        <v>941.89683533333334</v>
      </c>
      <c r="F2" s="15">
        <v>12.428749999999999</v>
      </c>
      <c r="G2" s="14"/>
    </row>
    <row r="3" spans="1:7" s="3" customFormat="1" x14ac:dyDescent="0.3">
      <c r="A3" s="13" t="s">
        <v>36</v>
      </c>
      <c r="B3" s="14">
        <v>31173800</v>
      </c>
      <c r="C3" s="15">
        <v>56.141908104728003</v>
      </c>
      <c r="D3" s="14">
        <v>87344</v>
      </c>
      <c r="E3" s="14">
        <v>996.53517499999998</v>
      </c>
      <c r="F3" s="15">
        <v>13.558583333333333</v>
      </c>
    </row>
    <row r="4" spans="1:7" s="3" customFormat="1" x14ac:dyDescent="0.3">
      <c r="A4" s="13" t="s">
        <v>37</v>
      </c>
      <c r="B4" s="14">
        <v>32933004</v>
      </c>
      <c r="C4" s="15">
        <v>57.799243033941103</v>
      </c>
      <c r="D4" s="14">
        <v>87814</v>
      </c>
      <c r="E4" s="14">
        <v>1124.711227</v>
      </c>
      <c r="F4" s="15">
        <v>18.788083333333333</v>
      </c>
    </row>
    <row r="5" spans="1:7" s="3" customFormat="1" x14ac:dyDescent="0.3">
      <c r="A5" s="13" t="s">
        <v>38</v>
      </c>
      <c r="B5" s="14">
        <v>37844143</v>
      </c>
      <c r="C5" s="15">
        <v>57.641474585217203</v>
      </c>
      <c r="D5" s="14">
        <v>84716</v>
      </c>
      <c r="E5" s="14">
        <v>1077.4313279999999</v>
      </c>
      <c r="F5" s="15">
        <v>23.156750000000002</v>
      </c>
    </row>
    <row r="6" spans="1:7" s="3" customFormat="1" x14ac:dyDescent="0.3">
      <c r="A6" s="13" t="s">
        <v>39</v>
      </c>
      <c r="B6" s="14">
        <v>32359994</v>
      </c>
      <c r="C6" s="15">
        <v>63.311001574301102</v>
      </c>
      <c r="D6" s="14">
        <v>82005</v>
      </c>
      <c r="E6" s="14">
        <v>1092.469032</v>
      </c>
      <c r="F6" s="15">
        <v>20.396583333333336</v>
      </c>
    </row>
    <row r="7" spans="1:7" s="3" customFormat="1" x14ac:dyDescent="0.3">
      <c r="A7" s="13" t="s">
        <v>40</v>
      </c>
      <c r="B7" s="14">
        <v>36644007</v>
      </c>
      <c r="C7" s="15">
        <v>66.580759421011606</v>
      </c>
      <c r="D7" s="14">
        <v>84664</v>
      </c>
      <c r="E7" s="14">
        <v>1164.6221593333332</v>
      </c>
      <c r="F7" s="15">
        <v>21.944500000000001</v>
      </c>
    </row>
    <row r="8" spans="1:7" s="3" customFormat="1" x14ac:dyDescent="0.3">
      <c r="A8" s="13" t="s">
        <v>41</v>
      </c>
      <c r="B8" s="14">
        <v>38362739</v>
      </c>
      <c r="C8" s="15">
        <v>68.769236752972802</v>
      </c>
      <c r="D8" s="14">
        <v>85445</v>
      </c>
      <c r="E8" s="14">
        <v>1160.6957746666667</v>
      </c>
      <c r="F8" s="15">
        <v>18.347916666666666</v>
      </c>
    </row>
    <row r="9" spans="1:7" s="3" customFormat="1" x14ac:dyDescent="0.3">
      <c r="A9" s="13" t="s">
        <v>42</v>
      </c>
      <c r="B9" s="14">
        <v>44422530</v>
      </c>
      <c r="C9" s="15">
        <v>69.595473890244307</v>
      </c>
      <c r="D9" s="14">
        <v>84395</v>
      </c>
      <c r="E9" s="14">
        <v>1234.7809813333333</v>
      </c>
      <c r="F9" s="15">
        <v>12.05325</v>
      </c>
    </row>
    <row r="10" spans="1:7" s="3" customFormat="1" x14ac:dyDescent="0.3">
      <c r="A10" s="13" t="s">
        <v>43</v>
      </c>
      <c r="B10" s="14">
        <v>35458731</v>
      </c>
      <c r="C10" s="15">
        <v>74.415655927001396</v>
      </c>
      <c r="D10" s="14">
        <v>80096</v>
      </c>
      <c r="E10" s="14">
        <v>1277.9583833333334</v>
      </c>
      <c r="F10" s="15">
        <v>10.840428939394002</v>
      </c>
    </row>
    <row r="11" spans="1:7" s="3" customFormat="1" x14ac:dyDescent="0.3">
      <c r="A11" s="13" t="s">
        <v>44</v>
      </c>
      <c r="B11" s="22">
        <f>25942071+4500000</f>
        <v>30442071</v>
      </c>
      <c r="C11" s="15">
        <v>61.235985968158097</v>
      </c>
      <c r="D11" s="14">
        <v>77560</v>
      </c>
      <c r="E11" s="14">
        <v>1348.8849523333336</v>
      </c>
      <c r="F11" s="15">
        <v>8.520102100840333</v>
      </c>
    </row>
    <row r="12" spans="1:7" s="3" customFormat="1" x14ac:dyDescent="0.3">
      <c r="A12" s="13" t="s">
        <v>45</v>
      </c>
      <c r="B12" s="14">
        <v>38016527</v>
      </c>
      <c r="C12" s="15">
        <v>73.433920029619998</v>
      </c>
      <c r="D12" s="14">
        <v>82091</v>
      </c>
      <c r="E12" s="14">
        <v>1456.0115260000002</v>
      </c>
      <c r="F12" s="15">
        <v>9.5180088167389663</v>
      </c>
    </row>
    <row r="13" spans="1:7" s="3" customFormat="1" x14ac:dyDescent="0.3">
      <c r="A13" s="13" t="s">
        <v>46</v>
      </c>
      <c r="B13" s="22">
        <f>47833703-4500000</f>
        <v>43333703</v>
      </c>
      <c r="C13" s="15">
        <v>77.724018843633203</v>
      </c>
      <c r="D13" s="14">
        <v>80470</v>
      </c>
      <c r="E13" s="14">
        <v>1559.104258666667</v>
      </c>
      <c r="F13" s="15">
        <v>14.512560524499667</v>
      </c>
    </row>
    <row r="14" spans="1:7" s="3" customFormat="1" x14ac:dyDescent="0.3">
      <c r="A14" s="13" t="s">
        <v>47</v>
      </c>
      <c r="B14" s="14">
        <v>40891689</v>
      </c>
      <c r="C14" s="15">
        <v>87.049289962616584</v>
      </c>
      <c r="D14" s="14">
        <v>82172</v>
      </c>
      <c r="E14" s="14">
        <v>1585.019687</v>
      </c>
      <c r="F14" s="15">
        <v>17.317593695652334</v>
      </c>
    </row>
    <row r="15" spans="1:7" s="3" customFormat="1" x14ac:dyDescent="0.3">
      <c r="A15" s="13" t="s">
        <v>48</v>
      </c>
      <c r="B15" s="14">
        <v>44415382</v>
      </c>
      <c r="C15" s="15">
        <v>93.567483456511795</v>
      </c>
      <c r="D15" s="14">
        <v>85151</v>
      </c>
      <c r="E15" s="14">
        <v>1666.0846666666666</v>
      </c>
      <c r="F15" s="15">
        <v>19.035284439634665</v>
      </c>
    </row>
    <row r="16" spans="1:7" s="3" customFormat="1" x14ac:dyDescent="0.3">
      <c r="A16" s="13" t="s">
        <v>49</v>
      </c>
      <c r="B16" s="14">
        <v>50086545.999999993</v>
      </c>
      <c r="C16" s="15">
        <v>105.637307165594</v>
      </c>
      <c r="D16" s="14">
        <v>88831</v>
      </c>
      <c r="E16" s="14">
        <v>1727</v>
      </c>
      <c r="F16" s="15">
        <v>18.913132459044334</v>
      </c>
    </row>
    <row r="17" spans="1:6" s="3" customFormat="1" x14ac:dyDescent="0.3">
      <c r="A17" s="13" t="s">
        <v>50</v>
      </c>
      <c r="B17" s="14">
        <v>65974653.000000007</v>
      </c>
      <c r="C17" s="15">
        <v>113.74591941527801</v>
      </c>
      <c r="D17" s="14">
        <v>89513</v>
      </c>
      <c r="E17" s="14">
        <v>1993.6666666666667</v>
      </c>
      <c r="F17" s="15">
        <v>16.235726429512667</v>
      </c>
    </row>
    <row r="18" spans="1:6" s="3" customFormat="1" x14ac:dyDescent="0.3">
      <c r="A18" s="13" t="s">
        <v>51</v>
      </c>
      <c r="B18" s="14">
        <v>58026015.000000007</v>
      </c>
      <c r="C18" s="15">
        <v>146.17717180853299</v>
      </c>
      <c r="D18" s="14">
        <v>88250</v>
      </c>
      <c r="E18" s="14">
        <v>1966</v>
      </c>
      <c r="F18" s="15">
        <v>14.171846749482333</v>
      </c>
    </row>
    <row r="19" spans="1:6" s="3" customFormat="1" x14ac:dyDescent="0.3">
      <c r="A19" s="13" t="s">
        <v>52</v>
      </c>
      <c r="B19" s="14">
        <v>67513220</v>
      </c>
      <c r="C19" s="15">
        <v>162.872867274448</v>
      </c>
      <c r="D19" s="14">
        <v>92298</v>
      </c>
      <c r="E19" s="14">
        <v>2088</v>
      </c>
      <c r="F19" s="15">
        <v>14.1283266064</v>
      </c>
    </row>
    <row r="20" spans="1:6" s="3" customFormat="1" x14ac:dyDescent="0.3">
      <c r="A20" s="13" t="s">
        <v>53</v>
      </c>
      <c r="B20" s="14">
        <v>89438935</v>
      </c>
      <c r="C20" s="15">
        <v>212.87243837041501</v>
      </c>
      <c r="D20" s="14">
        <v>93481</v>
      </c>
      <c r="E20" s="14">
        <v>2457.6666666666665</v>
      </c>
      <c r="F20" s="15">
        <v>13.640888143338332</v>
      </c>
    </row>
    <row r="21" spans="1:6" s="3" customFormat="1" x14ac:dyDescent="0.3">
      <c r="A21" s="13" t="s">
        <v>54</v>
      </c>
      <c r="B21" s="14">
        <v>114181645.97302997</v>
      </c>
      <c r="C21" s="15">
        <v>230.42619022186696</v>
      </c>
      <c r="D21" s="14">
        <v>94665</v>
      </c>
      <c r="E21" s="14">
        <v>2736.9786666666664</v>
      </c>
      <c r="F21" s="15">
        <v>10.707056275917033</v>
      </c>
    </row>
    <row r="22" spans="1:6" s="3" customFormat="1" x14ac:dyDescent="0.3">
      <c r="A22" s="13" t="s">
        <v>55</v>
      </c>
      <c r="B22" s="14">
        <v>147832251.84114137</v>
      </c>
      <c r="C22" s="15">
        <v>320.12215928664602</v>
      </c>
      <c r="D22" s="14">
        <v>92565</v>
      </c>
      <c r="E22" s="14">
        <v>3034.3333333333335</v>
      </c>
      <c r="F22" s="15">
        <v>9.0238702715121342</v>
      </c>
    </row>
    <row r="23" spans="1:6" s="3" customFormat="1" x14ac:dyDescent="0.3">
      <c r="A23" s="13" t="s">
        <v>56</v>
      </c>
      <c r="B23" s="14">
        <v>142935259.75939864</v>
      </c>
      <c r="C23" s="15">
        <v>344.35557844141698</v>
      </c>
      <c r="D23" s="14">
        <v>94521</v>
      </c>
      <c r="E23" s="14">
        <v>3041.644666666667</v>
      </c>
      <c r="F23" s="15">
        <v>10.110375104427634</v>
      </c>
    </row>
    <row r="24" spans="1:6" s="3" customFormat="1" x14ac:dyDescent="0.3">
      <c r="A24" s="13" t="s">
        <v>57</v>
      </c>
      <c r="B24" s="14">
        <v>179720552.98605001</v>
      </c>
      <c r="C24" s="15">
        <v>455.89023038625697</v>
      </c>
      <c r="D24" s="14">
        <v>96129</v>
      </c>
      <c r="E24" s="14">
        <v>3275.0049999999997</v>
      </c>
      <c r="F24" s="15">
        <v>20.396573809523666</v>
      </c>
    </row>
    <row r="25" spans="1:6" s="3" customFormat="1" x14ac:dyDescent="0.3">
      <c r="A25" s="13" t="s">
        <v>58</v>
      </c>
      <c r="B25" s="14">
        <v>221537877.53383002</v>
      </c>
      <c r="C25" s="15">
        <v>486.20192418972198</v>
      </c>
      <c r="D25" s="14">
        <v>96059</v>
      </c>
      <c r="E25" s="14">
        <v>4023.3333333333335</v>
      </c>
      <c r="F25" s="15">
        <v>35.676486147186331</v>
      </c>
    </row>
    <row r="26" spans="1:6" s="3" customFormat="1" x14ac:dyDescent="0.3">
      <c r="A26" s="13" t="s">
        <v>59</v>
      </c>
      <c r="B26" s="14">
        <v>246918040.26819476</v>
      </c>
      <c r="C26" s="15">
        <v>693.11105293686705</v>
      </c>
      <c r="D26" s="14">
        <v>96038</v>
      </c>
      <c r="E26" s="14">
        <v>4070.3933333333334</v>
      </c>
      <c r="F26" s="15">
        <v>45.418018614718669</v>
      </c>
    </row>
    <row r="27" spans="1:6" s="3" customFormat="1" x14ac:dyDescent="0.3">
      <c r="A27" s="13" t="s">
        <v>60</v>
      </c>
      <c r="B27" s="14">
        <v>218928700.7264452</v>
      </c>
      <c r="C27" s="15">
        <v>741.91614636599297</v>
      </c>
      <c r="D27" s="14">
        <v>98090</v>
      </c>
      <c r="E27" s="14">
        <v>4340.4019999999991</v>
      </c>
      <c r="F27" s="15">
        <v>51.324886419340338</v>
      </c>
    </row>
    <row r="28" spans="1:6" s="3" customFormat="1" x14ac:dyDescent="0.3">
      <c r="A28" s="13" t="s">
        <v>61</v>
      </c>
      <c r="B28" s="14">
        <v>206223533.74473998</v>
      </c>
      <c r="C28" s="15">
        <v>796.60799253615005</v>
      </c>
      <c r="D28" s="14">
        <v>98979</v>
      </c>
      <c r="E28" s="14">
        <v>4928.8900000000003</v>
      </c>
      <c r="F28" s="15">
        <v>50.333264548872336</v>
      </c>
    </row>
    <row r="29" spans="1:6" s="3" customFormat="1" x14ac:dyDescent="0.3">
      <c r="A29" s="13" t="s">
        <v>62</v>
      </c>
      <c r="B29" s="14">
        <v>218127760.50577995</v>
      </c>
      <c r="C29" s="15">
        <v>839.337734658675</v>
      </c>
      <c r="D29" s="14">
        <v>97975</v>
      </c>
      <c r="E29" s="14">
        <v>6232.73</v>
      </c>
      <c r="F29" s="15">
        <v>49.255071060606006</v>
      </c>
    </row>
    <row r="30" spans="1:6" s="3" customFormat="1" x14ac:dyDescent="0.3">
      <c r="A30" s="13" t="s">
        <v>63</v>
      </c>
      <c r="B30" s="14">
        <v>265634085.65000519</v>
      </c>
      <c r="C30" s="15">
        <v>1002.94098704826</v>
      </c>
      <c r="D30" s="14">
        <v>95786</v>
      </c>
      <c r="E30" s="14">
        <v>7016.0620000000008</v>
      </c>
      <c r="F30" s="15">
        <v>44.841679473684337</v>
      </c>
    </row>
    <row r="31" spans="1:6" s="3" customFormat="1" x14ac:dyDescent="0.3">
      <c r="A31" s="13" t="s">
        <v>64</v>
      </c>
      <c r="B31" s="14">
        <v>273268426.55933481</v>
      </c>
      <c r="C31" s="15">
        <v>1069.03368170263</v>
      </c>
      <c r="D31" s="14">
        <v>97870</v>
      </c>
      <c r="E31" s="14">
        <v>8280.2150000000001</v>
      </c>
      <c r="F31" s="15">
        <v>47.846294035087659</v>
      </c>
    </row>
    <row r="32" spans="1:6" s="3" customFormat="1" x14ac:dyDescent="0.3">
      <c r="A32" s="13" t="s">
        <v>65</v>
      </c>
      <c r="B32" s="16">
        <v>721363044.16252995</v>
      </c>
      <c r="C32" s="17">
        <v>1116.4475146299999</v>
      </c>
      <c r="D32" s="16">
        <v>99205</v>
      </c>
      <c r="E32" s="16">
        <v>9195.521999999999</v>
      </c>
      <c r="F32" s="17">
        <v>43.03166560606067</v>
      </c>
    </row>
    <row r="33" spans="1:23" s="3" customFormat="1" x14ac:dyDescent="0.3">
      <c r="A33" s="13" t="s">
        <v>66</v>
      </c>
      <c r="B33" s="14">
        <v>839594493.51406002</v>
      </c>
      <c r="C33" s="15">
        <v>1147.64388320035</v>
      </c>
      <c r="D33" s="14">
        <v>97971</v>
      </c>
      <c r="E33" s="14">
        <v>9499.348</v>
      </c>
      <c r="F33" s="15">
        <v>39.232901014492668</v>
      </c>
    </row>
    <row r="34" spans="1:23" s="3" customFormat="1" x14ac:dyDescent="0.3">
      <c r="A34" s="13" t="s">
        <v>67</v>
      </c>
      <c r="B34" s="14">
        <v>752690573.09392989</v>
      </c>
      <c r="C34" s="15">
        <v>1374.3144704177701</v>
      </c>
      <c r="D34" s="14">
        <v>94437</v>
      </c>
      <c r="E34" s="14">
        <v>9427.8270000000011</v>
      </c>
      <c r="F34" s="15">
        <v>38.088014445396823</v>
      </c>
    </row>
    <row r="35" spans="1:23" x14ac:dyDescent="0.3"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3"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3"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3"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3"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3"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3"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3"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3"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x14ac:dyDescent="0.3">
      <c r="K44" s="3"/>
    </row>
    <row r="45" spans="1:23" x14ac:dyDescent="0.3">
      <c r="K45" s="3"/>
    </row>
    <row r="46" spans="1:23" x14ac:dyDescent="0.3">
      <c r="K46" s="3"/>
    </row>
    <row r="47" spans="1:23" x14ac:dyDescent="0.3">
      <c r="K47" s="3"/>
    </row>
    <row r="48" spans="1:23" x14ac:dyDescent="0.3">
      <c r="K48" s="3"/>
    </row>
    <row r="49" spans="11:11" x14ac:dyDescent="0.3">
      <c r="K49" s="3"/>
    </row>
    <row r="50" spans="11:11" x14ac:dyDescent="0.3">
      <c r="K50" s="3"/>
    </row>
    <row r="51" spans="11:11" x14ac:dyDescent="0.3">
      <c r="K51" s="3"/>
    </row>
    <row r="52" spans="11:11" x14ac:dyDescent="0.3">
      <c r="K52" s="3"/>
    </row>
    <row r="53" spans="11:11" x14ac:dyDescent="0.3">
      <c r="K53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141"/>
  <sheetViews>
    <sheetView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4.4" x14ac:dyDescent="0.3"/>
  <cols>
    <col min="2" max="6" width="19.109375" customWidth="1"/>
    <col min="7" max="7" width="19.109375" style="3" customWidth="1"/>
    <col min="8" max="8" width="19.109375" customWidth="1"/>
    <col min="9" max="10" width="16.6640625" customWidth="1"/>
  </cols>
  <sheetData>
    <row r="1" spans="1:19" ht="27" customHeight="1" x14ac:dyDescent="0.3">
      <c r="A1" s="12" t="s">
        <v>0</v>
      </c>
      <c r="B1" s="12" t="s">
        <v>4</v>
      </c>
      <c r="C1" s="12" t="s">
        <v>33</v>
      </c>
      <c r="D1" s="12" t="s">
        <v>9</v>
      </c>
      <c r="E1" s="12" t="s">
        <v>10</v>
      </c>
      <c r="F1" s="12" t="s">
        <v>11</v>
      </c>
      <c r="G1" s="12" t="s">
        <v>12</v>
      </c>
      <c r="H1" s="12" t="s">
        <v>13</v>
      </c>
      <c r="I1" s="2"/>
      <c r="L1" s="3"/>
      <c r="M1" s="3"/>
      <c r="N1" s="3"/>
      <c r="O1" s="3"/>
      <c r="P1" s="3"/>
      <c r="Q1" s="3"/>
      <c r="R1" s="3"/>
      <c r="S1" s="3"/>
    </row>
    <row r="2" spans="1:19" s="3" customFormat="1" x14ac:dyDescent="0.3">
      <c r="A2" s="13" t="s">
        <v>35</v>
      </c>
      <c r="B2" s="14">
        <v>16774091</v>
      </c>
      <c r="C2" s="15">
        <v>10.475735333333335</v>
      </c>
      <c r="D2" s="15">
        <v>82.422284152422392</v>
      </c>
      <c r="E2" s="15">
        <v>79.624808383333331</v>
      </c>
      <c r="F2" s="15">
        <v>22</v>
      </c>
      <c r="G2" s="15">
        <v>6.3893333333333349</v>
      </c>
      <c r="H2" s="8">
        <v>22</v>
      </c>
    </row>
    <row r="3" spans="1:19" s="3" customFormat="1" x14ac:dyDescent="0.3">
      <c r="A3" s="13" t="s">
        <v>36</v>
      </c>
      <c r="B3" s="14">
        <v>17956097</v>
      </c>
      <c r="C3" s="15">
        <v>10.980044999999999</v>
      </c>
      <c r="D3" s="15">
        <v>84.476247088670689</v>
      </c>
      <c r="E3" s="15">
        <v>84.894344956666657</v>
      </c>
      <c r="F3" s="15">
        <v>22</v>
      </c>
      <c r="G3" s="15">
        <v>6.7837499999999995</v>
      </c>
      <c r="H3" s="8">
        <v>22</v>
      </c>
    </row>
    <row r="4" spans="1:19" s="3" customFormat="1" x14ac:dyDescent="0.3">
      <c r="A4" s="13" t="s">
        <v>37</v>
      </c>
      <c r="B4" s="14">
        <v>18120291</v>
      </c>
      <c r="C4" s="15">
        <v>11.706246999999999</v>
      </c>
      <c r="D4" s="15">
        <v>81.307144594213241</v>
      </c>
      <c r="E4" s="15">
        <v>81.350857680000004</v>
      </c>
      <c r="F4" s="15">
        <v>22</v>
      </c>
      <c r="G4" s="15">
        <v>10.056666666666668</v>
      </c>
      <c r="H4" s="8">
        <v>22</v>
      </c>
    </row>
    <row r="5" spans="1:19" s="3" customFormat="1" x14ac:dyDescent="0.3">
      <c r="A5" s="13" t="s">
        <v>38</v>
      </c>
      <c r="B5" s="14">
        <v>25822835</v>
      </c>
      <c r="C5" s="15">
        <v>12.467737999999999</v>
      </c>
      <c r="D5" s="15">
        <v>86.923743989452689</v>
      </c>
      <c r="E5" s="15">
        <v>81.720510109999992</v>
      </c>
      <c r="F5" s="15">
        <v>22</v>
      </c>
      <c r="G5" s="15">
        <v>10.427583333333324</v>
      </c>
      <c r="H5" s="8">
        <v>22</v>
      </c>
    </row>
    <row r="6" spans="1:19" s="3" customFormat="1" x14ac:dyDescent="0.3">
      <c r="A6" s="13" t="s">
        <v>39</v>
      </c>
      <c r="B6" s="14">
        <v>20689252</v>
      </c>
      <c r="C6" s="15">
        <v>12.561562666666667</v>
      </c>
      <c r="D6" s="15">
        <v>77.406684980554374</v>
      </c>
      <c r="E6" s="15">
        <v>70.85106613666666</v>
      </c>
      <c r="F6" s="15">
        <v>22</v>
      </c>
      <c r="G6" s="15">
        <v>6.3744166666666651</v>
      </c>
      <c r="H6" s="8">
        <v>22</v>
      </c>
    </row>
    <row r="7" spans="1:19" s="3" customFormat="1" x14ac:dyDescent="0.3">
      <c r="A7" s="13" t="s">
        <v>40</v>
      </c>
      <c r="B7" s="14">
        <v>15831806</v>
      </c>
      <c r="C7" s="15">
        <v>12.950999666666666</v>
      </c>
      <c r="D7" s="15">
        <v>81.19687157253297</v>
      </c>
      <c r="E7" s="15">
        <v>77.232598706666664</v>
      </c>
      <c r="F7" s="15">
        <v>22</v>
      </c>
      <c r="G7" s="15">
        <v>5.6265833333333326</v>
      </c>
      <c r="H7" s="8">
        <v>22</v>
      </c>
    </row>
    <row r="8" spans="1:19" s="3" customFormat="1" x14ac:dyDescent="0.3">
      <c r="A8" s="13" t="s">
        <v>41</v>
      </c>
      <c r="B8" s="14">
        <v>18919907</v>
      </c>
      <c r="C8" s="15">
        <v>13.289649666666667</v>
      </c>
      <c r="D8" s="15">
        <v>82.137453576851797</v>
      </c>
      <c r="E8" s="15">
        <v>82.880453833333334</v>
      </c>
      <c r="F8" s="15">
        <v>22</v>
      </c>
      <c r="G8" s="15">
        <v>5.1744166666666693</v>
      </c>
      <c r="H8" s="8">
        <v>22</v>
      </c>
    </row>
    <row r="9" spans="1:19" s="3" customFormat="1" x14ac:dyDescent="0.3">
      <c r="A9" s="13" t="s">
        <v>42</v>
      </c>
      <c r="B9" s="14">
        <v>23388018</v>
      </c>
      <c r="C9" s="15">
        <v>13.752701333333334</v>
      </c>
      <c r="D9" s="15">
        <v>91.91079239935199</v>
      </c>
      <c r="E9" s="15">
        <v>93.932263833333351</v>
      </c>
      <c r="F9" s="15">
        <v>22</v>
      </c>
      <c r="G9" s="15">
        <v>3.95275</v>
      </c>
      <c r="H9" s="8">
        <v>22</v>
      </c>
    </row>
    <row r="10" spans="1:19" s="3" customFormat="1" x14ac:dyDescent="0.3">
      <c r="A10" s="13" t="s">
        <v>43</v>
      </c>
      <c r="B10" s="14">
        <v>27069100</v>
      </c>
      <c r="C10" s="15">
        <v>14.084753999999998</v>
      </c>
      <c r="D10" s="15">
        <v>82.086048951027749</v>
      </c>
      <c r="E10" s="15">
        <v>79.967435196666671</v>
      </c>
      <c r="F10" s="15">
        <v>22</v>
      </c>
      <c r="G10" s="15">
        <v>4.5627500000000003</v>
      </c>
      <c r="H10" s="8">
        <v>22</v>
      </c>
    </row>
    <row r="11" spans="1:19" s="3" customFormat="1" x14ac:dyDescent="0.3">
      <c r="A11" s="10" t="s">
        <v>44</v>
      </c>
      <c r="B11" s="22">
        <f>22231634+900000</f>
        <v>23131634</v>
      </c>
      <c r="C11" s="15">
        <v>14.460054333333332</v>
      </c>
      <c r="D11" s="15">
        <v>67.164780608818475</v>
      </c>
      <c r="E11" s="15">
        <v>68.240583452222225</v>
      </c>
      <c r="F11" s="15">
        <v>22</v>
      </c>
      <c r="G11" s="15">
        <v>4.1268333333333338</v>
      </c>
      <c r="H11" s="8">
        <v>22</v>
      </c>
    </row>
    <row r="12" spans="1:19" s="3" customFormat="1" x14ac:dyDescent="0.3">
      <c r="A12" s="10" t="s">
        <v>45</v>
      </c>
      <c r="B12" s="22">
        <f>29304677-900000</f>
        <v>28404677</v>
      </c>
      <c r="C12" s="15">
        <v>14.852632666666667</v>
      </c>
      <c r="D12" s="15">
        <v>89.743868967754167</v>
      </c>
      <c r="E12" s="15">
        <v>93.210489676666668</v>
      </c>
      <c r="F12" s="15">
        <v>22</v>
      </c>
      <c r="G12" s="15">
        <v>5.8675833333333332</v>
      </c>
      <c r="H12" s="8">
        <v>22</v>
      </c>
    </row>
    <row r="13" spans="1:19" s="3" customFormat="1" x14ac:dyDescent="0.3">
      <c r="A13" s="13" t="s">
        <v>46</v>
      </c>
      <c r="B13" s="14">
        <v>26441962</v>
      </c>
      <c r="C13" s="15">
        <v>15.610667999999999</v>
      </c>
      <c r="D13" s="15">
        <v>101.89330295632749</v>
      </c>
      <c r="E13" s="15">
        <v>102.06303901333332</v>
      </c>
      <c r="F13" s="15">
        <v>22</v>
      </c>
      <c r="G13" s="15">
        <v>6.1172499999999994</v>
      </c>
      <c r="H13" s="8">
        <v>22</v>
      </c>
    </row>
    <row r="14" spans="1:19" s="3" customFormat="1" x14ac:dyDescent="0.3">
      <c r="A14" s="13" t="s">
        <v>47</v>
      </c>
      <c r="B14" s="14">
        <v>39989259</v>
      </c>
      <c r="C14" s="15">
        <v>16.281056333333336</v>
      </c>
      <c r="D14" s="15">
        <v>92.180378613832758</v>
      </c>
      <c r="E14" s="15">
        <v>93.147909289999987</v>
      </c>
      <c r="F14" s="15">
        <v>25</v>
      </c>
      <c r="G14" s="15">
        <v>4.2509166666666678</v>
      </c>
      <c r="H14" s="8">
        <v>25</v>
      </c>
    </row>
    <row r="15" spans="1:19" s="3" customFormat="1" x14ac:dyDescent="0.3">
      <c r="A15" s="13" t="s">
        <v>48</v>
      </c>
      <c r="B15" s="14">
        <v>29557126</v>
      </c>
      <c r="C15" s="15">
        <v>16.930920333333333</v>
      </c>
      <c r="D15" s="15">
        <v>96.317474948226035</v>
      </c>
      <c r="E15" s="15">
        <v>93.175060766666661</v>
      </c>
      <c r="F15" s="15">
        <v>25</v>
      </c>
      <c r="G15" s="15">
        <v>4.788333333333334</v>
      </c>
      <c r="H15" s="8">
        <v>25</v>
      </c>
    </row>
    <row r="16" spans="1:19" s="3" customFormat="1" x14ac:dyDescent="0.3">
      <c r="A16" s="13" t="s">
        <v>49</v>
      </c>
      <c r="B16" s="14">
        <v>52137490</v>
      </c>
      <c r="C16" s="15">
        <v>17.713878000000001</v>
      </c>
      <c r="D16" s="15">
        <v>97.462533306030835</v>
      </c>
      <c r="E16" s="15">
        <v>99.812790313333338</v>
      </c>
      <c r="F16" s="15">
        <v>25</v>
      </c>
      <c r="G16" s="15">
        <v>4.2757500000000013</v>
      </c>
      <c r="H16" s="8">
        <v>25</v>
      </c>
    </row>
    <row r="17" spans="1:8" s="3" customFormat="1" x14ac:dyDescent="0.3">
      <c r="A17" s="13" t="s">
        <v>50</v>
      </c>
      <c r="B17" s="14">
        <v>56286359</v>
      </c>
      <c r="C17" s="15">
        <v>19.645773666666667</v>
      </c>
      <c r="D17" s="15">
        <v>114.03961313191041</v>
      </c>
      <c r="E17" s="15">
        <v>110.61392936</v>
      </c>
      <c r="F17" s="15">
        <v>25</v>
      </c>
      <c r="G17" s="15">
        <v>6.9161666666666664</v>
      </c>
      <c r="H17" s="8">
        <v>25</v>
      </c>
    </row>
    <row r="18" spans="1:8" s="3" customFormat="1" x14ac:dyDescent="0.3">
      <c r="A18" s="13" t="s">
        <v>51</v>
      </c>
      <c r="B18" s="14">
        <v>102867490</v>
      </c>
      <c r="C18" s="15">
        <v>25.202918666666665</v>
      </c>
      <c r="D18" s="15">
        <v>100.93823384142358</v>
      </c>
      <c r="E18" s="15">
        <v>96.67128056</v>
      </c>
      <c r="F18" s="15">
        <v>23</v>
      </c>
      <c r="G18" s="15">
        <v>11.385</v>
      </c>
      <c r="H18" s="8">
        <v>25</v>
      </c>
    </row>
    <row r="19" spans="1:8" s="3" customFormat="1" x14ac:dyDescent="0.3">
      <c r="A19" s="13" t="s">
        <v>52</v>
      </c>
      <c r="B19" s="14">
        <v>160146904</v>
      </c>
      <c r="C19" s="15">
        <v>29.471644999999999</v>
      </c>
      <c r="D19" s="15">
        <v>106.66401314350952</v>
      </c>
      <c r="E19" s="15">
        <v>102.99688716333333</v>
      </c>
      <c r="F19" s="15">
        <v>23</v>
      </c>
      <c r="G19" s="15">
        <v>10.564750000000002</v>
      </c>
      <c r="H19" s="8">
        <v>25</v>
      </c>
    </row>
    <row r="20" spans="1:8" s="3" customFormat="1" x14ac:dyDescent="0.3">
      <c r="A20" s="13" t="s">
        <v>53</v>
      </c>
      <c r="B20" s="14">
        <v>108511830</v>
      </c>
      <c r="C20" s="15">
        <v>32.080317000000001</v>
      </c>
      <c r="D20" s="15">
        <v>100.90575847992655</v>
      </c>
      <c r="E20" s="15">
        <v>104.67082323333334</v>
      </c>
      <c r="F20" s="15">
        <v>23</v>
      </c>
      <c r="G20" s="15">
        <v>12.877000000000001</v>
      </c>
      <c r="H20" s="8">
        <v>25</v>
      </c>
    </row>
    <row r="21" spans="1:8" s="3" customFormat="1" x14ac:dyDescent="0.3">
      <c r="A21" s="13" t="s">
        <v>54</v>
      </c>
      <c r="B21" s="14">
        <v>135925706</v>
      </c>
      <c r="C21" s="15">
        <v>34.846271000000002</v>
      </c>
      <c r="D21" s="15">
        <v>115.83790323056887</v>
      </c>
      <c r="E21" s="15">
        <v>116.97342347</v>
      </c>
      <c r="F21" s="15">
        <v>23</v>
      </c>
      <c r="G21" s="15">
        <v>10.1485</v>
      </c>
      <c r="H21" s="8">
        <v>25</v>
      </c>
    </row>
    <row r="22" spans="1:8" s="3" customFormat="1" x14ac:dyDescent="0.3">
      <c r="A22" s="13" t="s">
        <v>55</v>
      </c>
      <c r="B22" s="14">
        <v>15264560.220579997</v>
      </c>
      <c r="C22" s="15">
        <v>38.897189333333337</v>
      </c>
      <c r="D22" s="15">
        <v>101.48102836816135</v>
      </c>
      <c r="E22" s="15">
        <v>117.34526886666667</v>
      </c>
      <c r="F22" s="15">
        <v>25</v>
      </c>
      <c r="G22" s="15">
        <v>5.7610833333333327</v>
      </c>
      <c r="H22" s="8">
        <v>30</v>
      </c>
    </row>
    <row r="23" spans="1:8" s="3" customFormat="1" x14ac:dyDescent="0.3">
      <c r="A23" s="13" t="s">
        <v>56</v>
      </c>
      <c r="B23" s="14">
        <v>275502951.37996</v>
      </c>
      <c r="C23" s="15">
        <v>41.385961333333334</v>
      </c>
      <c r="D23" s="15">
        <v>103.97356942951951</v>
      </c>
      <c r="E23" s="15">
        <v>121.65783383</v>
      </c>
      <c r="F23" s="15">
        <v>25</v>
      </c>
      <c r="G23" s="15">
        <v>5.2721666666666698</v>
      </c>
      <c r="H23" s="8">
        <v>30</v>
      </c>
    </row>
    <row r="24" spans="1:8" s="3" customFormat="1" x14ac:dyDescent="0.3">
      <c r="A24" s="13" t="s">
        <v>57</v>
      </c>
      <c r="B24" s="14">
        <v>197457275.13723999</v>
      </c>
      <c r="C24" s="15">
        <v>50.108341333333328</v>
      </c>
      <c r="D24" s="15">
        <v>109.37691618334865</v>
      </c>
      <c r="E24" s="15">
        <v>122.57830032333334</v>
      </c>
      <c r="F24" s="15">
        <v>25</v>
      </c>
      <c r="G24" s="15">
        <v>15.204916666666662</v>
      </c>
      <c r="H24" s="8">
        <v>30</v>
      </c>
    </row>
    <row r="25" spans="1:8" s="3" customFormat="1" x14ac:dyDescent="0.3">
      <c r="A25" s="13" t="s">
        <v>58</v>
      </c>
      <c r="B25" s="14">
        <v>298093380.27333999</v>
      </c>
      <c r="C25" s="15">
        <v>56.703321333333328</v>
      </c>
      <c r="D25" s="15">
        <v>118.5710988252264</v>
      </c>
      <c r="E25" s="15">
        <v>126.38799618666667</v>
      </c>
      <c r="F25" s="15">
        <v>25</v>
      </c>
      <c r="G25" s="15">
        <v>8.8915833333333385</v>
      </c>
      <c r="H25" s="8">
        <v>30</v>
      </c>
    </row>
    <row r="26" spans="1:8" s="3" customFormat="1" x14ac:dyDescent="0.3">
      <c r="A26" s="13" t="s">
        <v>59</v>
      </c>
      <c r="B26" s="22">
        <f>28290780.67046+180000000</f>
        <v>208290780.67045999</v>
      </c>
      <c r="C26" s="15">
        <v>64.896050333333335</v>
      </c>
      <c r="D26" s="15">
        <v>106.220735344571</v>
      </c>
      <c r="E26" s="15">
        <v>121.69950425999998</v>
      </c>
      <c r="F26" s="15">
        <v>25</v>
      </c>
      <c r="G26" s="15">
        <v>5.6650833333333352</v>
      </c>
      <c r="H26" s="8">
        <v>30</v>
      </c>
    </row>
    <row r="27" spans="1:8" s="3" customFormat="1" x14ac:dyDescent="0.3">
      <c r="A27" s="13" t="s">
        <v>60</v>
      </c>
      <c r="B27" s="22">
        <f>437555960.32418-180000000</f>
        <v>257555960.32418001</v>
      </c>
      <c r="C27" s="15">
        <v>71.296992666666668</v>
      </c>
      <c r="D27" s="15">
        <v>99.319748539624911</v>
      </c>
      <c r="E27" s="15">
        <v>119.00982620000001</v>
      </c>
      <c r="F27" s="15">
        <v>25</v>
      </c>
      <c r="G27" s="15">
        <v>0.74591666666666612</v>
      </c>
      <c r="H27" s="8">
        <v>30</v>
      </c>
    </row>
    <row r="28" spans="1:8" s="3" customFormat="1" x14ac:dyDescent="0.3">
      <c r="A28" s="13" t="s">
        <v>61</v>
      </c>
      <c r="B28" s="14">
        <v>206223533.74474001</v>
      </c>
      <c r="C28" s="15">
        <v>77.212997666666666</v>
      </c>
      <c r="D28" s="15">
        <v>105.72768265635408</v>
      </c>
      <c r="E28" s="15">
        <v>133.08563166666667</v>
      </c>
      <c r="F28" s="15">
        <v>25</v>
      </c>
      <c r="G28" s="15">
        <v>5.9242500000000007</v>
      </c>
      <c r="H28" s="8">
        <v>30</v>
      </c>
    </row>
    <row r="29" spans="1:8" s="3" customFormat="1" x14ac:dyDescent="0.3">
      <c r="A29" s="13" t="s">
        <v>62</v>
      </c>
      <c r="B29" s="14">
        <v>218127760.50577995</v>
      </c>
      <c r="C29" s="15">
        <v>83.151307000000017</v>
      </c>
      <c r="D29" s="15">
        <v>120.73301005742472</v>
      </c>
      <c r="E29" s="15">
        <v>148.62806770666666</v>
      </c>
      <c r="F29" s="15">
        <v>25</v>
      </c>
      <c r="G29" s="15">
        <v>-0.31116666666666504</v>
      </c>
      <c r="H29" s="8">
        <v>30</v>
      </c>
    </row>
    <row r="30" spans="1:8" s="3" customFormat="1" x14ac:dyDescent="0.3">
      <c r="A30" s="13" t="s">
        <v>63</v>
      </c>
      <c r="B30" s="22">
        <f>23748126.85614+250000000</f>
        <v>273748126.85614002</v>
      </c>
      <c r="C30" s="15">
        <v>90.663594999999987</v>
      </c>
      <c r="D30" s="15">
        <v>103.14334986346311</v>
      </c>
      <c r="E30" s="15">
        <v>128.22674770666666</v>
      </c>
      <c r="F30" s="15">
        <v>25</v>
      </c>
      <c r="G30" s="15">
        <v>2.8880833333333342</v>
      </c>
      <c r="H30" s="8">
        <v>30</v>
      </c>
    </row>
    <row r="31" spans="1:8" s="3" customFormat="1" x14ac:dyDescent="0.3">
      <c r="A31" s="13" t="s">
        <v>64</v>
      </c>
      <c r="B31" s="22">
        <f>515154385.3532-250000000</f>
        <v>265154385.35320002</v>
      </c>
      <c r="C31" s="15">
        <v>97.02034766666668</v>
      </c>
      <c r="D31" s="15">
        <v>106.62822435096143</v>
      </c>
      <c r="E31" s="15">
        <v>141.96529457</v>
      </c>
      <c r="F31" s="15">
        <v>25</v>
      </c>
      <c r="G31" s="15">
        <v>2.2049999999999983</v>
      </c>
      <c r="H31" s="8">
        <v>30</v>
      </c>
    </row>
    <row r="32" spans="1:8" s="3" customFormat="1" x14ac:dyDescent="0.3">
      <c r="A32" s="13" t="s">
        <v>65</v>
      </c>
      <c r="B32" s="14">
        <v>321131564.82082009</v>
      </c>
      <c r="C32" s="15">
        <v>102.88923066666666</v>
      </c>
      <c r="D32" s="15">
        <v>111.47462840528736</v>
      </c>
      <c r="E32" s="15">
        <v>146.86028026666668</v>
      </c>
      <c r="F32" s="15">
        <v>25</v>
      </c>
      <c r="G32" s="15">
        <v>1.9087499999999977</v>
      </c>
      <c r="H32" s="8">
        <v>30</v>
      </c>
    </row>
    <row r="33" spans="1:19" s="3" customFormat="1" x14ac:dyDescent="0.3">
      <c r="A33" s="13" t="s">
        <v>66</v>
      </c>
      <c r="B33" s="14">
        <v>363838891.90964997</v>
      </c>
      <c r="C33" s="15">
        <v>109.42682666666667</v>
      </c>
      <c r="D33" s="15">
        <v>121.34009006620538</v>
      </c>
      <c r="E33" s="15">
        <v>157.93695460666666</v>
      </c>
      <c r="F33" s="15">
        <v>25</v>
      </c>
      <c r="G33" s="15">
        <v>0.25800000000000506</v>
      </c>
      <c r="H33" s="8">
        <v>30</v>
      </c>
    </row>
    <row r="34" spans="1:19" s="3" customFormat="1" x14ac:dyDescent="0.3">
      <c r="A34" s="13" t="s">
        <v>67</v>
      </c>
      <c r="B34" s="14">
        <v>412322225.98115003</v>
      </c>
      <c r="C34" s="15">
        <v>118.78666666666668</v>
      </c>
      <c r="D34" s="15">
        <v>99.598661240568333</v>
      </c>
      <c r="E34" s="15">
        <v>132.64649330333333</v>
      </c>
      <c r="F34" s="15">
        <v>25</v>
      </c>
      <c r="G34" s="15">
        <v>3.2276666666666691</v>
      </c>
      <c r="H34" s="8">
        <v>30</v>
      </c>
    </row>
    <row r="35" spans="1:19" x14ac:dyDescent="0.3">
      <c r="A35" s="1"/>
      <c r="B35" s="1"/>
      <c r="C35" s="1"/>
      <c r="D35" s="1"/>
      <c r="E35" s="1"/>
      <c r="F35" s="1"/>
      <c r="G35" s="4"/>
      <c r="H35" s="1"/>
      <c r="L35" s="3"/>
      <c r="M35" s="3"/>
      <c r="N35" s="3"/>
      <c r="O35" s="3"/>
      <c r="P35" s="3"/>
      <c r="Q35" s="3"/>
      <c r="R35" s="3"/>
      <c r="S35" s="3"/>
    </row>
    <row r="36" spans="1:19" x14ac:dyDescent="0.3">
      <c r="A36" s="1"/>
      <c r="B36" s="1"/>
      <c r="C36" s="1"/>
      <c r="D36" s="1"/>
      <c r="E36" s="1"/>
      <c r="F36" s="1"/>
      <c r="G36" s="4"/>
      <c r="H36" s="1"/>
      <c r="L36" s="3"/>
      <c r="M36" s="3"/>
      <c r="N36" s="3"/>
      <c r="O36" s="3"/>
      <c r="P36" s="3"/>
      <c r="Q36" s="3"/>
      <c r="R36" s="3"/>
      <c r="S36" s="3"/>
    </row>
    <row r="37" spans="1:19" x14ac:dyDescent="0.3">
      <c r="A37" s="1"/>
      <c r="B37" s="1"/>
      <c r="C37" s="1"/>
      <c r="D37" s="1"/>
      <c r="E37" s="1"/>
      <c r="F37" s="1"/>
      <c r="G37" s="4"/>
      <c r="H37" s="1"/>
      <c r="L37" s="3"/>
      <c r="M37" s="3"/>
      <c r="N37" s="3"/>
      <c r="O37" s="3"/>
      <c r="P37" s="3"/>
      <c r="Q37" s="3"/>
      <c r="R37" s="3"/>
      <c r="S37" s="3"/>
    </row>
    <row r="38" spans="1:19" x14ac:dyDescent="0.3">
      <c r="A38" s="1"/>
      <c r="B38" s="1"/>
      <c r="C38" s="1"/>
      <c r="D38" s="1"/>
      <c r="E38" s="1"/>
      <c r="F38" s="1"/>
      <c r="G38" s="4"/>
      <c r="H38" s="1"/>
      <c r="L38" s="3"/>
      <c r="M38" s="3"/>
      <c r="N38" s="3"/>
      <c r="O38" s="3"/>
      <c r="P38" s="3"/>
      <c r="Q38" s="3"/>
      <c r="R38" s="3"/>
      <c r="S38" s="3"/>
    </row>
    <row r="39" spans="1:19" x14ac:dyDescent="0.3">
      <c r="A39" s="1"/>
      <c r="B39" s="1"/>
      <c r="C39" s="1"/>
      <c r="D39" s="1"/>
      <c r="E39" s="1"/>
      <c r="F39" s="1"/>
      <c r="G39" s="4"/>
      <c r="H39" s="1"/>
      <c r="L39" s="3"/>
      <c r="O39" s="3"/>
    </row>
    <row r="40" spans="1:19" x14ac:dyDescent="0.3">
      <c r="A40" s="1"/>
      <c r="B40" s="1"/>
      <c r="C40" s="1"/>
      <c r="D40" s="1"/>
      <c r="E40" s="1"/>
      <c r="F40" s="1"/>
      <c r="G40" s="4"/>
      <c r="H40" s="1"/>
      <c r="L40" s="3"/>
      <c r="O40" s="3"/>
    </row>
    <row r="41" spans="1:19" x14ac:dyDescent="0.3">
      <c r="L41" s="3"/>
      <c r="O41" s="3"/>
    </row>
    <row r="42" spans="1:19" x14ac:dyDescent="0.3">
      <c r="L42" s="3"/>
      <c r="O42" s="3"/>
    </row>
    <row r="43" spans="1:19" x14ac:dyDescent="0.3">
      <c r="L43" s="3"/>
      <c r="O43" s="3"/>
    </row>
    <row r="44" spans="1:19" x14ac:dyDescent="0.3">
      <c r="L44" s="3"/>
      <c r="O44" s="3"/>
    </row>
    <row r="45" spans="1:19" x14ac:dyDescent="0.3">
      <c r="L45" s="3"/>
      <c r="O45" s="3"/>
    </row>
    <row r="46" spans="1:19" x14ac:dyDescent="0.3">
      <c r="L46" s="3"/>
      <c r="O46" s="3"/>
    </row>
    <row r="47" spans="1:19" x14ac:dyDescent="0.3">
      <c r="L47" s="3"/>
      <c r="O47" s="3"/>
    </row>
    <row r="48" spans="1:19" x14ac:dyDescent="0.3">
      <c r="L48" s="3"/>
      <c r="O48" s="3"/>
    </row>
    <row r="49" spans="12:15" x14ac:dyDescent="0.3">
      <c r="L49" s="3"/>
      <c r="O49" s="3"/>
    </row>
    <row r="50" spans="12:15" x14ac:dyDescent="0.3">
      <c r="L50" s="3"/>
      <c r="O50" s="3"/>
    </row>
    <row r="51" spans="12:15" x14ac:dyDescent="0.3">
      <c r="L51" s="3"/>
      <c r="O51" s="3"/>
    </row>
    <row r="52" spans="12:15" x14ac:dyDescent="0.3">
      <c r="L52" s="3"/>
      <c r="O52" s="3"/>
    </row>
    <row r="53" spans="12:15" x14ac:dyDescent="0.3">
      <c r="L53" s="3"/>
      <c r="O53" s="3"/>
    </row>
    <row r="54" spans="12:15" x14ac:dyDescent="0.3">
      <c r="L54" s="3"/>
      <c r="O54" s="3"/>
    </row>
    <row r="55" spans="12:15" x14ac:dyDescent="0.3">
      <c r="L55" s="3"/>
      <c r="O55" s="3"/>
    </row>
    <row r="56" spans="12:15" x14ac:dyDescent="0.3">
      <c r="L56" s="3"/>
      <c r="O56" s="3"/>
    </row>
    <row r="57" spans="12:15" x14ac:dyDescent="0.3">
      <c r="L57" s="3"/>
      <c r="O57" s="3"/>
    </row>
    <row r="58" spans="12:15" x14ac:dyDescent="0.3">
      <c r="L58" s="3"/>
      <c r="O58" s="3"/>
    </row>
    <row r="59" spans="12:15" x14ac:dyDescent="0.3">
      <c r="L59" s="3"/>
      <c r="O59" s="3"/>
    </row>
    <row r="60" spans="12:15" x14ac:dyDescent="0.3">
      <c r="L60" s="3"/>
      <c r="O60" s="3"/>
    </row>
    <row r="61" spans="12:15" x14ac:dyDescent="0.3">
      <c r="L61" s="3"/>
      <c r="O61" s="3"/>
    </row>
    <row r="62" spans="12:15" x14ac:dyDescent="0.3">
      <c r="L62" s="3"/>
      <c r="O62" s="3"/>
    </row>
    <row r="63" spans="12:15" x14ac:dyDescent="0.3">
      <c r="L63" s="3"/>
      <c r="O63" s="3"/>
    </row>
    <row r="64" spans="12:15" x14ac:dyDescent="0.3">
      <c r="L64" s="3"/>
      <c r="O64" s="3"/>
    </row>
    <row r="65" spans="12:15" x14ac:dyDescent="0.3">
      <c r="L65" s="3"/>
      <c r="O65" s="3"/>
    </row>
    <row r="66" spans="12:15" x14ac:dyDescent="0.3">
      <c r="L66" s="3"/>
      <c r="O66" s="3"/>
    </row>
    <row r="67" spans="12:15" x14ac:dyDescent="0.3">
      <c r="L67" s="3"/>
      <c r="O67" s="3"/>
    </row>
    <row r="68" spans="12:15" x14ac:dyDescent="0.3">
      <c r="L68" s="3"/>
      <c r="O68" s="3"/>
    </row>
    <row r="69" spans="12:15" x14ac:dyDescent="0.3">
      <c r="L69" s="3"/>
      <c r="O69" s="3"/>
    </row>
    <row r="70" spans="12:15" x14ac:dyDescent="0.3">
      <c r="L70" s="3"/>
      <c r="O70" s="3"/>
    </row>
    <row r="71" spans="12:15" x14ac:dyDescent="0.3">
      <c r="L71" s="3"/>
      <c r="O71" s="3"/>
    </row>
    <row r="72" spans="12:15" x14ac:dyDescent="0.3">
      <c r="L72" s="3"/>
      <c r="O72" s="3"/>
    </row>
    <row r="73" spans="12:15" x14ac:dyDescent="0.3">
      <c r="L73" s="3"/>
      <c r="O73" s="3"/>
    </row>
    <row r="74" spans="12:15" x14ac:dyDescent="0.3">
      <c r="L74" s="3"/>
      <c r="O74" s="3"/>
    </row>
    <row r="75" spans="12:15" x14ac:dyDescent="0.3">
      <c r="L75" s="3"/>
      <c r="O75" s="3"/>
    </row>
    <row r="76" spans="12:15" x14ac:dyDescent="0.3">
      <c r="L76" s="3"/>
      <c r="O76" s="3"/>
    </row>
    <row r="77" spans="12:15" x14ac:dyDescent="0.3">
      <c r="L77" s="3"/>
      <c r="O77" s="3"/>
    </row>
    <row r="78" spans="12:15" x14ac:dyDescent="0.3">
      <c r="L78" s="3"/>
      <c r="O78" s="3"/>
    </row>
    <row r="79" spans="12:15" x14ac:dyDescent="0.3">
      <c r="L79" s="3"/>
      <c r="O79" s="3"/>
    </row>
    <row r="80" spans="12:15" x14ac:dyDescent="0.3">
      <c r="L80" s="3"/>
      <c r="O80" s="3"/>
    </row>
    <row r="81" spans="12:15" x14ac:dyDescent="0.3">
      <c r="L81" s="3"/>
      <c r="O81" s="3"/>
    </row>
    <row r="82" spans="12:15" x14ac:dyDescent="0.3">
      <c r="L82" s="3"/>
      <c r="O82" s="3"/>
    </row>
    <row r="83" spans="12:15" x14ac:dyDescent="0.3">
      <c r="L83" s="3"/>
      <c r="O83" s="3"/>
    </row>
    <row r="84" spans="12:15" x14ac:dyDescent="0.3">
      <c r="L84" s="3"/>
      <c r="O84" s="3"/>
    </row>
    <row r="85" spans="12:15" x14ac:dyDescent="0.3">
      <c r="L85" s="3"/>
      <c r="O85" s="3"/>
    </row>
    <row r="86" spans="12:15" x14ac:dyDescent="0.3">
      <c r="L86" s="3"/>
      <c r="O86" s="3"/>
    </row>
    <row r="87" spans="12:15" x14ac:dyDescent="0.3">
      <c r="L87" s="3"/>
      <c r="O87" s="3"/>
    </row>
    <row r="88" spans="12:15" x14ac:dyDescent="0.3">
      <c r="L88" s="3"/>
      <c r="O88" s="3"/>
    </row>
    <row r="89" spans="12:15" x14ac:dyDescent="0.3">
      <c r="L89" s="3"/>
      <c r="O89" s="3"/>
    </row>
    <row r="90" spans="12:15" x14ac:dyDescent="0.3">
      <c r="L90" s="3"/>
      <c r="O90" s="3"/>
    </row>
    <row r="91" spans="12:15" x14ac:dyDescent="0.3">
      <c r="L91" s="3"/>
      <c r="O91" s="3"/>
    </row>
    <row r="92" spans="12:15" x14ac:dyDescent="0.3">
      <c r="L92" s="3"/>
      <c r="O92" s="3"/>
    </row>
    <row r="93" spans="12:15" x14ac:dyDescent="0.3">
      <c r="L93" s="3"/>
      <c r="O93" s="3"/>
    </row>
    <row r="94" spans="12:15" x14ac:dyDescent="0.3">
      <c r="L94" s="3"/>
      <c r="O94" s="3"/>
    </row>
    <row r="95" spans="12:15" x14ac:dyDescent="0.3">
      <c r="L95" s="3"/>
      <c r="O95" s="3"/>
    </row>
    <row r="96" spans="12:15" x14ac:dyDescent="0.3">
      <c r="L96" s="3"/>
      <c r="O96" s="3"/>
    </row>
    <row r="97" spans="12:15" x14ac:dyDescent="0.3">
      <c r="L97" s="3"/>
      <c r="O97" s="3"/>
    </row>
    <row r="98" spans="12:15" x14ac:dyDescent="0.3">
      <c r="L98" s="3"/>
      <c r="O98" s="3"/>
    </row>
    <row r="99" spans="12:15" x14ac:dyDescent="0.3">
      <c r="L99" s="3"/>
      <c r="O99" s="3"/>
    </row>
    <row r="100" spans="12:15" x14ac:dyDescent="0.3">
      <c r="L100" s="3"/>
      <c r="O100" s="3"/>
    </row>
    <row r="101" spans="12:15" x14ac:dyDescent="0.3">
      <c r="L101" s="3"/>
      <c r="O101" s="3"/>
    </row>
    <row r="102" spans="12:15" x14ac:dyDescent="0.3">
      <c r="L102" s="3"/>
      <c r="O102" s="3"/>
    </row>
    <row r="103" spans="12:15" x14ac:dyDescent="0.3">
      <c r="L103" s="3"/>
      <c r="O103" s="3"/>
    </row>
    <row r="104" spans="12:15" x14ac:dyDescent="0.3">
      <c r="L104" s="3"/>
      <c r="O104" s="3"/>
    </row>
    <row r="105" spans="12:15" x14ac:dyDescent="0.3">
      <c r="L105" s="3"/>
      <c r="O105" s="3"/>
    </row>
    <row r="106" spans="12:15" x14ac:dyDescent="0.3">
      <c r="L106" s="3"/>
      <c r="O106" s="3"/>
    </row>
    <row r="107" spans="12:15" x14ac:dyDescent="0.3">
      <c r="L107" s="3"/>
      <c r="O107" s="3"/>
    </row>
    <row r="108" spans="12:15" x14ac:dyDescent="0.3">
      <c r="L108" s="3"/>
      <c r="O108" s="3"/>
    </row>
    <row r="109" spans="12:15" x14ac:dyDescent="0.3">
      <c r="L109" s="3"/>
      <c r="O109" s="3"/>
    </row>
    <row r="110" spans="12:15" x14ac:dyDescent="0.3">
      <c r="L110" s="3"/>
      <c r="O110" s="3"/>
    </row>
    <row r="111" spans="12:15" x14ac:dyDescent="0.3">
      <c r="L111" s="3"/>
      <c r="O111" s="3"/>
    </row>
    <row r="112" spans="12:15" x14ac:dyDescent="0.3">
      <c r="L112" s="3"/>
      <c r="O112" s="3"/>
    </row>
    <row r="113" spans="12:15" x14ac:dyDescent="0.3">
      <c r="L113" s="3"/>
      <c r="O113" s="3"/>
    </row>
    <row r="114" spans="12:15" x14ac:dyDescent="0.3">
      <c r="L114" s="3"/>
      <c r="O114" s="3"/>
    </row>
    <row r="115" spans="12:15" x14ac:dyDescent="0.3">
      <c r="L115" s="3"/>
      <c r="O115" s="3"/>
    </row>
    <row r="116" spans="12:15" x14ac:dyDescent="0.3">
      <c r="L116" s="3"/>
      <c r="O116" s="3"/>
    </row>
    <row r="117" spans="12:15" x14ac:dyDescent="0.3">
      <c r="L117" s="3"/>
      <c r="O117" s="3"/>
    </row>
    <row r="118" spans="12:15" x14ac:dyDescent="0.3">
      <c r="L118" s="3"/>
      <c r="O118" s="3"/>
    </row>
    <row r="119" spans="12:15" x14ac:dyDescent="0.3">
      <c r="L119" s="3"/>
      <c r="O119" s="3"/>
    </row>
    <row r="120" spans="12:15" x14ac:dyDescent="0.3">
      <c r="L120" s="3"/>
      <c r="O120" s="3"/>
    </row>
    <row r="121" spans="12:15" x14ac:dyDescent="0.3">
      <c r="L121" s="3"/>
      <c r="O121" s="3"/>
    </row>
    <row r="122" spans="12:15" x14ac:dyDescent="0.3">
      <c r="L122" s="3"/>
      <c r="O122" s="3"/>
    </row>
    <row r="123" spans="12:15" x14ac:dyDescent="0.3">
      <c r="L123" s="3"/>
      <c r="O123" s="3"/>
    </row>
    <row r="124" spans="12:15" x14ac:dyDescent="0.3">
      <c r="L124" s="3"/>
      <c r="O124" s="3"/>
    </row>
    <row r="125" spans="12:15" x14ac:dyDescent="0.3">
      <c r="L125" s="3"/>
      <c r="O125" s="3"/>
    </row>
    <row r="126" spans="12:15" x14ac:dyDescent="0.3">
      <c r="L126" s="3"/>
      <c r="O126" s="3"/>
    </row>
    <row r="127" spans="12:15" x14ac:dyDescent="0.3">
      <c r="L127" s="3"/>
      <c r="O127" s="3"/>
    </row>
    <row r="128" spans="12:15" x14ac:dyDescent="0.3">
      <c r="L128" s="3"/>
      <c r="O128" s="3"/>
    </row>
    <row r="129" spans="12:15" x14ac:dyDescent="0.3">
      <c r="L129" s="3"/>
      <c r="O129" s="3"/>
    </row>
    <row r="130" spans="12:15" x14ac:dyDescent="0.3">
      <c r="L130" s="3"/>
      <c r="O130" s="3"/>
    </row>
    <row r="131" spans="12:15" x14ac:dyDescent="0.3">
      <c r="L131" s="3"/>
    </row>
    <row r="132" spans="12:15" x14ac:dyDescent="0.3">
      <c r="L132" s="3"/>
    </row>
    <row r="133" spans="12:15" x14ac:dyDescent="0.3">
      <c r="L133" s="3"/>
    </row>
    <row r="134" spans="12:15" x14ac:dyDescent="0.3">
      <c r="L134" s="3"/>
    </row>
    <row r="135" spans="12:15" x14ac:dyDescent="0.3">
      <c r="L135" s="3"/>
    </row>
    <row r="136" spans="12:15" x14ac:dyDescent="0.3">
      <c r="L136" s="3"/>
    </row>
    <row r="137" spans="12:15" x14ac:dyDescent="0.3">
      <c r="L137" s="3"/>
    </row>
    <row r="138" spans="12:15" x14ac:dyDescent="0.3">
      <c r="L138" s="3"/>
    </row>
    <row r="139" spans="12:15" x14ac:dyDescent="0.3">
      <c r="L139" s="3"/>
    </row>
    <row r="140" spans="12:15" x14ac:dyDescent="0.3">
      <c r="L140" s="3"/>
    </row>
    <row r="141" spans="12:15" x14ac:dyDescent="0.3">
      <c r="L14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7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2" sqref="D22"/>
    </sheetView>
  </sheetViews>
  <sheetFormatPr defaultRowHeight="14.4" x14ac:dyDescent="0.3"/>
  <cols>
    <col min="2" max="5" width="20.44140625" customWidth="1"/>
    <col min="6" max="6" width="16.6640625" customWidth="1"/>
  </cols>
  <sheetData>
    <row r="1" spans="1:5" ht="27" customHeight="1" x14ac:dyDescent="0.3">
      <c r="A1" s="11" t="s">
        <v>0</v>
      </c>
      <c r="B1" s="12" t="s">
        <v>14</v>
      </c>
      <c r="C1" s="12" t="s">
        <v>30</v>
      </c>
      <c r="D1" s="12" t="s">
        <v>32</v>
      </c>
      <c r="E1" s="12" t="s">
        <v>31</v>
      </c>
    </row>
    <row r="2" spans="1:5" x14ac:dyDescent="0.3">
      <c r="A2" s="1">
        <v>43831</v>
      </c>
      <c r="B2" s="5">
        <v>10545786</v>
      </c>
      <c r="C2" s="7">
        <v>16761.482023</v>
      </c>
      <c r="D2" s="6">
        <v>5.9181590909091</v>
      </c>
      <c r="E2" s="6">
        <v>10.719228759073401</v>
      </c>
    </row>
    <row r="3" spans="1:5" x14ac:dyDescent="0.3">
      <c r="A3" s="1">
        <v>43862</v>
      </c>
      <c r="B3" s="5">
        <v>10083108</v>
      </c>
      <c r="C3" s="7">
        <v>15696.803354999998</v>
      </c>
      <c r="D3" s="6">
        <v>6.0444699999999996</v>
      </c>
      <c r="E3" s="6">
        <v>11.8156578602217</v>
      </c>
    </row>
    <row r="4" spans="1:5" x14ac:dyDescent="0.3">
      <c r="A4" s="1">
        <v>43891</v>
      </c>
      <c r="B4" s="5">
        <v>9620843</v>
      </c>
      <c r="C4" s="7">
        <v>16303.936874000001</v>
      </c>
      <c r="D4" s="6">
        <v>6.3144318181818004</v>
      </c>
      <c r="E4" s="6">
        <v>10.2433876763639</v>
      </c>
    </row>
    <row r="5" spans="1:5" x14ac:dyDescent="0.3">
      <c r="A5" s="1">
        <v>43922</v>
      </c>
      <c r="B5" s="5">
        <v>7732003</v>
      </c>
      <c r="C5" s="7">
        <v>11790.339533</v>
      </c>
      <c r="D5" s="6">
        <v>6.8189523809523997</v>
      </c>
      <c r="E5" s="6">
        <v>10.340269746430501</v>
      </c>
    </row>
    <row r="6" spans="1:5" x14ac:dyDescent="0.3">
      <c r="A6" s="1">
        <v>43952</v>
      </c>
      <c r="B6" s="5">
        <v>8182804</v>
      </c>
      <c r="C6" s="7">
        <v>11378.414196</v>
      </c>
      <c r="D6" s="6">
        <v>6.9519470588235004</v>
      </c>
      <c r="E6" s="6">
        <v>10.312548639404501</v>
      </c>
    </row>
    <row r="7" spans="1:5" x14ac:dyDescent="0.3">
      <c r="A7" s="1">
        <v>43983</v>
      </c>
      <c r="B7" s="5">
        <v>17087987</v>
      </c>
      <c r="C7" s="7">
        <v>13636.357566999999</v>
      </c>
      <c r="D7" s="6">
        <v>6.8088318181818002</v>
      </c>
      <c r="E7" s="6">
        <v>18.2336243574108</v>
      </c>
    </row>
    <row r="8" spans="1:5" x14ac:dyDescent="0.3">
      <c r="A8" s="1">
        <v>44013</v>
      </c>
      <c r="B8" s="5">
        <v>14300687</v>
      </c>
      <c r="C8" s="7">
        <v>15202.637122</v>
      </c>
      <c r="D8" s="6">
        <v>6.8510952380952004</v>
      </c>
      <c r="E8" s="6">
        <v>13.8691146016592</v>
      </c>
    </row>
    <row r="9" spans="1:5" x14ac:dyDescent="0.3">
      <c r="A9" s="1">
        <v>44044</v>
      </c>
      <c r="B9" s="5">
        <v>13131493</v>
      </c>
      <c r="C9" s="7">
        <v>14157.128415000003</v>
      </c>
      <c r="D9" s="6">
        <v>7.2521899999999997</v>
      </c>
      <c r="E9" s="6">
        <v>12.944197094807899</v>
      </c>
    </row>
    <row r="10" spans="1:5" x14ac:dyDescent="0.3">
      <c r="A10" s="1">
        <v>44075</v>
      </c>
      <c r="B10" s="5">
        <v>15729243</v>
      </c>
      <c r="C10" s="7">
        <v>16846.416496000002</v>
      </c>
      <c r="D10" s="6">
        <v>7.5077818181818001</v>
      </c>
      <c r="E10" s="6">
        <v>12.5176320976511</v>
      </c>
    </row>
    <row r="11" spans="1:5" x14ac:dyDescent="0.3">
      <c r="A11" s="1">
        <v>44105</v>
      </c>
      <c r="B11" s="5">
        <v>16658104</v>
      </c>
      <c r="C11" s="7">
        <v>17172.747945000003</v>
      </c>
      <c r="D11" s="6">
        <v>7.8738809523809996</v>
      </c>
      <c r="E11" s="6">
        <v>12.3896297806891</v>
      </c>
    </row>
    <row r="12" spans="1:5" x14ac:dyDescent="0.3">
      <c r="A12" s="1">
        <v>44136</v>
      </c>
      <c r="B12" s="5">
        <v>17625943</v>
      </c>
      <c r="C12" s="7">
        <v>17812.195313</v>
      </c>
      <c r="D12" s="6">
        <v>8.0033238095238008</v>
      </c>
      <c r="E12" s="6">
        <v>12.5874755166606</v>
      </c>
    </row>
    <row r="13" spans="1:5" x14ac:dyDescent="0.3">
      <c r="A13" s="1">
        <v>44166</v>
      </c>
      <c r="B13" s="5">
        <v>18507918</v>
      </c>
      <c r="C13" s="7">
        <v>19142.139103999998</v>
      </c>
      <c r="D13" s="6">
        <v>7.7210652173912999</v>
      </c>
      <c r="E13" s="6">
        <v>12.5940777059503</v>
      </c>
    </row>
    <row r="14" spans="1:5" x14ac:dyDescent="0.3">
      <c r="A14" s="1">
        <v>44197</v>
      </c>
      <c r="B14" s="5">
        <v>15091853</v>
      </c>
      <c r="C14" s="7">
        <v>16487.651634999998</v>
      </c>
      <c r="D14" s="6">
        <v>7.3939750000000002</v>
      </c>
      <c r="E14" s="6">
        <v>12.379576440019187</v>
      </c>
    </row>
    <row r="15" spans="1:5" x14ac:dyDescent="0.3">
      <c r="A15" s="1">
        <v>44228</v>
      </c>
      <c r="B15" s="5">
        <v>15390944</v>
      </c>
      <c r="C15" s="7">
        <v>17581.669263</v>
      </c>
      <c r="D15" s="6">
        <v>7.0723649999999996</v>
      </c>
      <c r="E15" s="6">
        <v>12.377715198360177</v>
      </c>
    </row>
    <row r="16" spans="1:5" x14ac:dyDescent="0.3">
      <c r="A16" s="1">
        <v>44256</v>
      </c>
      <c r="B16" s="5">
        <v>21232230</v>
      </c>
      <c r="C16" s="7">
        <v>22053.188912000001</v>
      </c>
      <c r="D16" s="6">
        <v>7.6282347826086996</v>
      </c>
      <c r="E16" s="6">
        <v>11.361400576983991</v>
      </c>
    </row>
    <row r="17" spans="1:5" x14ac:dyDescent="0.3">
      <c r="A17" s="1">
        <v>44287</v>
      </c>
      <c r="B17" s="5">
        <v>19082304</v>
      </c>
      <c r="C17" s="7">
        <v>20575.420516000002</v>
      </c>
      <c r="D17" s="6">
        <v>8.1550238095238008</v>
      </c>
      <c r="E17" s="6">
        <v>11.372523867780233</v>
      </c>
    </row>
    <row r="18" spans="1:5" x14ac:dyDescent="0.3">
      <c r="A18" s="1">
        <v>44317</v>
      </c>
      <c r="B18" s="5">
        <v>18207284</v>
      </c>
      <c r="C18" s="7">
        <v>19128.007562999999</v>
      </c>
      <c r="D18" s="6">
        <v>8.3422499999999999</v>
      </c>
      <c r="E18" s="6">
        <v>10.746110004903418</v>
      </c>
    </row>
    <row r="19" spans="1:5" x14ac:dyDescent="0.3">
      <c r="A19" s="1">
        <v>44348</v>
      </c>
      <c r="B19" s="5">
        <v>21421526</v>
      </c>
      <c r="C19" s="7">
        <v>21551.760383000001</v>
      </c>
      <c r="D19" s="6">
        <v>8.5966818181817999</v>
      </c>
      <c r="E19" s="6">
        <v>11.562102167016562</v>
      </c>
    </row>
    <row r="20" spans="1:5" x14ac:dyDescent="0.3">
      <c r="A20" s="1">
        <v>44378</v>
      </c>
      <c r="B20" s="5">
        <v>19657360</v>
      </c>
      <c r="C20" s="7">
        <v>19669.646676</v>
      </c>
      <c r="D20" s="6">
        <v>8.6129411764705992</v>
      </c>
      <c r="E20" s="6">
        <v>10.977702133669275</v>
      </c>
    </row>
    <row r="21" spans="1:5" x14ac:dyDescent="0.3">
      <c r="A21" s="1">
        <v>44409</v>
      </c>
      <c r="B21" s="5">
        <v>21910863</v>
      </c>
      <c r="C21" s="7">
        <v>21955.440489999997</v>
      </c>
      <c r="D21" s="6">
        <v>8.4757142857143002</v>
      </c>
      <c r="E21" s="6">
        <v>11.774460587659025</v>
      </c>
    </row>
    <row r="22" spans="1:5" x14ac:dyDescent="0.3">
      <c r="A22" s="1">
        <v>44440</v>
      </c>
      <c r="B22" s="5">
        <v>20860394</v>
      </c>
      <c r="C22" s="7">
        <v>21996.786411000001</v>
      </c>
      <c r="D22" s="6">
        <v>8.5118818181818003</v>
      </c>
      <c r="E22" s="6">
        <v>11.141346571892901</v>
      </c>
    </row>
    <row r="23" spans="1:5" x14ac:dyDescent="0.3">
      <c r="A23" s="1">
        <v>44470</v>
      </c>
      <c r="B23" s="5">
        <v>22895220</v>
      </c>
      <c r="C23" s="7">
        <v>21330.530547999999</v>
      </c>
      <c r="D23" s="6">
        <v>9.1399450000000009</v>
      </c>
      <c r="E23" s="6">
        <v>11.200032768122774</v>
      </c>
    </row>
    <row r="24" spans="1:5" x14ac:dyDescent="0.3">
      <c r="A24" s="1">
        <v>44501</v>
      </c>
      <c r="B24" s="5">
        <v>28621191</v>
      </c>
      <c r="C24" s="7">
        <v>25833.687705</v>
      </c>
      <c r="D24" s="6">
        <v>10.523263636364</v>
      </c>
      <c r="E24" s="6">
        <v>10.528120471773271</v>
      </c>
    </row>
    <row r="25" spans="1:5" x14ac:dyDescent="0.3">
      <c r="A25" s="1">
        <v>44531</v>
      </c>
      <c r="B25" s="5">
        <v>37513805</v>
      </c>
      <c r="C25" s="7">
        <v>27117.027286</v>
      </c>
      <c r="D25" s="6">
        <v>13.528495652174</v>
      </c>
      <c r="E25" s="6">
        <v>10.225852688070475</v>
      </c>
    </row>
    <row r="26" spans="1:5" x14ac:dyDescent="0.3">
      <c r="A26" s="1">
        <v>44562</v>
      </c>
      <c r="B26" s="5">
        <v>31574940</v>
      </c>
      <c r="C26" s="7">
        <v>26214.146507999998</v>
      </c>
      <c r="D26" s="6">
        <v>13.519261904762001</v>
      </c>
      <c r="E26" s="6">
        <v>10.55972676220901</v>
      </c>
    </row>
    <row r="27" spans="1:5" x14ac:dyDescent="0.3">
      <c r="A27" s="1">
        <v>44593</v>
      </c>
      <c r="B27" s="5">
        <v>35707371</v>
      </c>
      <c r="C27" s="7">
        <v>26027.479458000002</v>
      </c>
      <c r="D27" s="6">
        <v>13.621124999999999</v>
      </c>
      <c r="E27" s="6">
        <v>12.765414017146609</v>
      </c>
    </row>
    <row r="28" spans="1:5" x14ac:dyDescent="0.3">
      <c r="A28" s="1">
        <v>44621</v>
      </c>
      <c r="B28" s="5">
        <v>45027063</v>
      </c>
      <c r="C28" s="7">
        <v>28650.783584000001</v>
      </c>
      <c r="D28" s="6">
        <v>14.565608695651999</v>
      </c>
      <c r="E28" s="6">
        <v>12.578325122960734</v>
      </c>
    </row>
    <row r="29" spans="1:5" x14ac:dyDescent="0.3">
      <c r="A29" s="1">
        <v>44652</v>
      </c>
      <c r="B29" s="5">
        <v>44133404</v>
      </c>
      <c r="C29" s="7">
        <v>28333.278319000001</v>
      </c>
      <c r="D29" s="6">
        <v>14.683566666667</v>
      </c>
      <c r="E29" s="6">
        <v>12.117522056786557</v>
      </c>
    </row>
    <row r="30" spans="1:5" x14ac:dyDescent="0.3">
      <c r="A30" s="1">
        <v>44682</v>
      </c>
      <c r="B30" s="5">
        <v>43651950</v>
      </c>
      <c r="C30" s="7">
        <v>25922.385618999997</v>
      </c>
      <c r="D30" s="6">
        <v>15.623922222221999</v>
      </c>
      <c r="E30" s="6">
        <v>12.026099626046072</v>
      </c>
    </row>
    <row r="31" spans="1:5" x14ac:dyDescent="0.3">
      <c r="A31" s="1">
        <v>44713</v>
      </c>
      <c r="B31" s="5">
        <v>54579217</v>
      </c>
      <c r="C31" s="7">
        <v>28095.730218000001</v>
      </c>
      <c r="D31" s="6">
        <v>16.964718181818</v>
      </c>
      <c r="E31" s="6">
        <v>12.31460008102899</v>
      </c>
    </row>
    <row r="32" spans="1:5" x14ac:dyDescent="0.3">
      <c r="A32" s="1">
        <v>44743</v>
      </c>
      <c r="B32" s="5">
        <v>48394929</v>
      </c>
      <c r="C32" s="7">
        <v>25054.975485000003</v>
      </c>
      <c r="D32" s="6">
        <v>17.387416666667001</v>
      </c>
      <c r="E32" s="6">
        <v>11.847569395979839</v>
      </c>
    </row>
    <row r="33" spans="1:5" x14ac:dyDescent="0.3">
      <c r="A33" s="1">
        <v>44774</v>
      </c>
      <c r="B33" s="5">
        <v>57924757</v>
      </c>
      <c r="C33" s="7">
        <v>28590.133011000002</v>
      </c>
      <c r="D33" s="6">
        <v>17.994949999999999</v>
      </c>
      <c r="E33" s="6">
        <v>12.712760451336536</v>
      </c>
    </row>
    <row r="34" spans="1:5" x14ac:dyDescent="0.3">
      <c r="A34" s="1">
        <v>44805</v>
      </c>
      <c r="B34" s="5">
        <v>54573877</v>
      </c>
      <c r="C34" s="7">
        <v>27653.894833000002</v>
      </c>
      <c r="D34" s="6">
        <v>18.281477272726999</v>
      </c>
      <c r="E34" s="6">
        <v>12.166085370101881</v>
      </c>
    </row>
    <row r="35" spans="1:5" x14ac:dyDescent="0.3">
      <c r="A35" s="1">
        <v>44835</v>
      </c>
      <c r="B35" s="5">
        <v>51943896</v>
      </c>
      <c r="C35" s="7">
        <v>24645.439631999998</v>
      </c>
      <c r="D35" s="6">
        <v>18.564614285714001</v>
      </c>
      <c r="E35" s="6">
        <v>12.703783314642594</v>
      </c>
    </row>
    <row r="36" spans="1:5" x14ac:dyDescent="0.3">
      <c r="A36" s="1">
        <v>44866</v>
      </c>
      <c r="B36" s="5">
        <v>54950989</v>
      </c>
      <c r="C36" s="7">
        <v>25878.321006999999</v>
      </c>
      <c r="D36" s="6">
        <v>18.590895454544999</v>
      </c>
      <c r="E36" s="6">
        <v>12.871356148448539</v>
      </c>
    </row>
    <row r="37" spans="1:5" x14ac:dyDescent="0.3">
      <c r="A37" s="1">
        <v>44896</v>
      </c>
      <c r="B37" s="5">
        <v>56502884.507009983</v>
      </c>
      <c r="C37" s="7">
        <v>28152.146358000002</v>
      </c>
      <c r="D37" s="6">
        <v>18.636968181817998</v>
      </c>
      <c r="E37" s="6">
        <v>14.118804053632847</v>
      </c>
    </row>
    <row r="38" spans="1:5" x14ac:dyDescent="0.3">
      <c r="A38" s="1">
        <v>44927</v>
      </c>
      <c r="B38" s="5">
        <v>52434285</v>
      </c>
      <c r="C38" s="7">
        <v>27285.327158</v>
      </c>
      <c r="D38" s="6">
        <v>18.757572727273001</v>
      </c>
      <c r="E38" s="6">
        <v>11.993579851779955</v>
      </c>
    </row>
    <row r="39" spans="1:5" x14ac:dyDescent="0.3">
      <c r="A39" s="1">
        <v>44958</v>
      </c>
      <c r="B39" s="5">
        <v>51553678</v>
      </c>
      <c r="C39" s="7">
        <v>25036.496138999999</v>
      </c>
      <c r="D39" s="6">
        <v>18.823309999999999</v>
      </c>
      <c r="E39" s="6">
        <v>12.922698771861038</v>
      </c>
    </row>
    <row r="40" spans="1:5" x14ac:dyDescent="0.3">
      <c r="A40" s="1">
        <v>44986</v>
      </c>
      <c r="B40" s="5">
        <v>64063218</v>
      </c>
      <c r="C40" s="7">
        <v>28680.123758000002</v>
      </c>
      <c r="D40" s="6">
        <v>18.969308695652</v>
      </c>
      <c r="E40" s="6">
        <v>12.97354685641468</v>
      </c>
    </row>
    <row r="41" spans="1:5" x14ac:dyDescent="0.3">
      <c r="A41" s="1">
        <v>45017</v>
      </c>
      <c r="B41" s="5">
        <v>57101170</v>
      </c>
      <c r="C41" s="7">
        <v>24558.690987000002</v>
      </c>
      <c r="D41" s="6">
        <v>19.302252631579002</v>
      </c>
      <c r="E41" s="6">
        <v>12.67808615095268</v>
      </c>
    </row>
    <row r="42" spans="1:5" x14ac:dyDescent="0.3">
      <c r="A42" s="1">
        <v>45047</v>
      </c>
      <c r="B42" s="5">
        <v>68154372</v>
      </c>
      <c r="C42" s="7">
        <v>28913.565426999998</v>
      </c>
      <c r="D42" s="6">
        <v>19.684047619047998</v>
      </c>
      <c r="E42" s="6">
        <v>12.442470024549779</v>
      </c>
    </row>
    <row r="43" spans="1:5" x14ac:dyDescent="0.3">
      <c r="A43" s="1">
        <v>45078</v>
      </c>
      <c r="B43" s="5">
        <v>65487161</v>
      </c>
      <c r="C43" s="7">
        <v>22572.868229</v>
      </c>
      <c r="D43" s="6">
        <v>23.064489473683999</v>
      </c>
      <c r="E43" s="6">
        <v>13.672523164479555</v>
      </c>
    </row>
    <row r="44" spans="1:5" x14ac:dyDescent="0.3">
      <c r="A44" s="1">
        <v>45108</v>
      </c>
      <c r="B44" s="5">
        <v>94953168</v>
      </c>
      <c r="C44" s="7">
        <v>26926.0196</v>
      </c>
      <c r="D44" s="6">
        <v>26.422738095238</v>
      </c>
      <c r="E44" s="6">
        <v>14.949607688077657</v>
      </c>
    </row>
    <row r="45" spans="1:5" x14ac:dyDescent="0.3">
      <c r="A45" s="1">
        <v>45139</v>
      </c>
      <c r="B45" s="5">
        <v>96798071</v>
      </c>
      <c r="C45" s="7">
        <v>25003.499539</v>
      </c>
      <c r="D45" s="6">
        <v>26.950577272726999</v>
      </c>
      <c r="E45" s="6">
        <v>15.043324210674191</v>
      </c>
    </row>
    <row r="46" spans="1:5" x14ac:dyDescent="0.3">
      <c r="A46" s="1">
        <v>45170</v>
      </c>
      <c r="B46" s="5">
        <v>93320729</v>
      </c>
      <c r="C46" s="7">
        <v>24127.946354</v>
      </c>
      <c r="D46" s="6">
        <v>26.940919047619001</v>
      </c>
      <c r="E46" s="6">
        <v>15.218753878942657</v>
      </c>
    </row>
    <row r="47" spans="1:5" x14ac:dyDescent="0.3">
      <c r="A47" s="1">
        <v>45200</v>
      </c>
      <c r="B47" s="5">
        <v>103113637</v>
      </c>
      <c r="C47" s="7">
        <v>25676.563188</v>
      </c>
      <c r="D47" s="6">
        <v>27.796031818182001</v>
      </c>
      <c r="E47" s="6">
        <v>15.350072263951747</v>
      </c>
    </row>
    <row r="48" spans="1:5" x14ac:dyDescent="0.3">
      <c r="A48" s="1">
        <v>45231</v>
      </c>
      <c r="B48" s="5">
        <v>101034692</v>
      </c>
      <c r="C48" s="7">
        <v>25482.122327999998</v>
      </c>
      <c r="D48" s="6">
        <v>28.585586363636001</v>
      </c>
      <c r="E48" s="6">
        <v>14.754266996100544</v>
      </c>
    </row>
    <row r="49" spans="1:5" x14ac:dyDescent="0.3">
      <c r="A49" s="1">
        <v>45261</v>
      </c>
      <c r="B49" s="5">
        <v>101495385</v>
      </c>
      <c r="C49" s="7">
        <v>25728.481083999999</v>
      </c>
      <c r="D49" s="6">
        <v>29.022561904762</v>
      </c>
      <c r="E49" s="6">
        <v>14.990001681649373</v>
      </c>
    </row>
    <row r="50" spans="1:5" x14ac:dyDescent="0.3">
      <c r="A50" s="1">
        <v>45292</v>
      </c>
      <c r="B50" s="5">
        <v>91156967.140980005</v>
      </c>
      <c r="C50" s="7">
        <v>23779.641598999999</v>
      </c>
      <c r="D50" s="6">
        <v>29.999700000000001</v>
      </c>
      <c r="E50" s="6">
        <v>14.38408780807123</v>
      </c>
    </row>
    <row r="51" spans="1:5" x14ac:dyDescent="0.3">
      <c r="A51" s="1">
        <v>45323</v>
      </c>
      <c r="B51" s="5">
        <v>100131686.11741</v>
      </c>
      <c r="C51" s="7">
        <v>25199.939169000001</v>
      </c>
      <c r="D51" s="6">
        <v>30.704152380951999</v>
      </c>
      <c r="E51" s="6">
        <v>14.141570703260992</v>
      </c>
    </row>
    <row r="52" spans="1:5" x14ac:dyDescent="0.3">
      <c r="A52" s="1">
        <v>45352</v>
      </c>
      <c r="B52" s="5">
        <v>111768401.11443001</v>
      </c>
      <c r="C52" s="7">
        <v>26403.474019000001</v>
      </c>
      <c r="D52" s="6">
        <v>31.929219047619</v>
      </c>
      <c r="E52" s="6">
        <v>14.049079836824669</v>
      </c>
    </row>
    <row r="53" spans="1:5" x14ac:dyDescent="0.3">
      <c r="A53" s="1">
        <v>45383</v>
      </c>
      <c r="B53" s="5">
        <v>111479842.95124996</v>
      </c>
      <c r="C53" s="7">
        <v>25055.486697</v>
      </c>
      <c r="D53" s="6">
        <v>32.271327777777998</v>
      </c>
      <c r="E53" s="6">
        <v>14.242356267334255</v>
      </c>
    </row>
    <row r="54" spans="1:5" x14ac:dyDescent="0.3">
      <c r="A54" s="1">
        <v>45413</v>
      </c>
      <c r="B54" s="5">
        <v>119947598.71468002</v>
      </c>
      <c r="C54" s="7">
        <v>27514.543415</v>
      </c>
      <c r="D54" s="6">
        <v>32.189895454545002</v>
      </c>
      <c r="E54" s="6">
        <v>14.018579560869021</v>
      </c>
    </row>
    <row r="55" spans="1:5" x14ac:dyDescent="0.3">
      <c r="A55" s="1">
        <v>45444</v>
      </c>
      <c r="B55" s="5">
        <v>96389006.094319999</v>
      </c>
      <c r="C55" s="7">
        <v>21667.372566000002</v>
      </c>
      <c r="D55" s="6">
        <v>32.462747058824</v>
      </c>
      <c r="E55" s="6">
        <v>14.207132785821647</v>
      </c>
    </row>
    <row r="56" spans="1:5" x14ac:dyDescent="0.3">
      <c r="A56" s="1">
        <v>45474</v>
      </c>
      <c r="B56" s="5">
        <v>119735264.88327003</v>
      </c>
      <c r="C56" s="7">
        <v>26143.001914</v>
      </c>
      <c r="D56" s="6">
        <v>32.835327272727</v>
      </c>
      <c r="E56" s="6">
        <v>14.659792731778087</v>
      </c>
    </row>
    <row r="57" spans="1:5" x14ac:dyDescent="0.3">
      <c r="A57" s="1">
        <v>45505</v>
      </c>
      <c r="B57" s="5">
        <v>109534533.12100995</v>
      </c>
      <c r="C57" s="7">
        <v>23987.588444000001</v>
      </c>
      <c r="D57" s="6">
        <v>33.560780952381002</v>
      </c>
      <c r="E57" s="6">
        <v>14.271121303912093</v>
      </c>
    </row>
    <row r="58" spans="1:5" x14ac:dyDescent="0.3">
      <c r="A58" s="1">
        <v>45536</v>
      </c>
      <c r="B58" s="5">
        <v>110477521.80381</v>
      </c>
      <c r="C58" s="7">
        <v>24140.774544</v>
      </c>
      <c r="D58" s="6">
        <v>33.969271428570998</v>
      </c>
      <c r="E58" s="6">
        <v>14.197514996616409</v>
      </c>
    </row>
    <row r="59" spans="1:5" x14ac:dyDescent="0.3">
      <c r="A59" s="1">
        <v>45566</v>
      </c>
      <c r="B59" s="5">
        <v>119023638.80172992</v>
      </c>
      <c r="C59" s="7">
        <v>25613.329763000002</v>
      </c>
      <c r="D59" s="6">
        <v>34.171018181817999</v>
      </c>
      <c r="E59" s="6">
        <v>14.253898291514069</v>
      </c>
    </row>
    <row r="60" spans="1:5" x14ac:dyDescent="0.3">
      <c r="A60" s="1">
        <v>45597</v>
      </c>
      <c r="B60" s="5">
        <v>116321180.98215008</v>
      </c>
      <c r="C60" s="7">
        <v>26376.117217999999</v>
      </c>
      <c r="D60" s="6">
        <v>34.364714285714001</v>
      </c>
      <c r="E60" s="6">
        <v>13.830644721498263</v>
      </c>
    </row>
    <row r="61" spans="1:5" x14ac:dyDescent="0.3">
      <c r="A61" s="1">
        <v>45627</v>
      </c>
      <c r="B61" s="5">
        <v>127966278.39804006</v>
      </c>
      <c r="C61" s="7">
        <v>28408.069100999997</v>
      </c>
      <c r="D61" s="6">
        <v>34.903822727273003</v>
      </c>
      <c r="E61" s="6">
        <v>14.294600880549577</v>
      </c>
    </row>
    <row r="62" spans="1:5" x14ac:dyDescent="0.3">
      <c r="A62" s="1">
        <v>45658</v>
      </c>
      <c r="B62" s="5">
        <v>113423354.31854001</v>
      </c>
      <c r="C62" s="7">
        <v>25414.103833999998</v>
      </c>
      <c r="D62" s="6">
        <v>35.455959090908998</v>
      </c>
      <c r="E62" s="6">
        <v>14.170136503688898</v>
      </c>
    </row>
    <row r="63" spans="1:5" x14ac:dyDescent="0.3">
      <c r="A63" s="1">
        <v>45689</v>
      </c>
      <c r="B63" s="5">
        <v>109819438.8493</v>
      </c>
      <c r="C63" s="7">
        <v>24655.713193</v>
      </c>
      <c r="D63" s="6">
        <v>36.09402</v>
      </c>
      <c r="E63" s="6">
        <v>13.840248348263504</v>
      </c>
    </row>
    <row r="64" spans="1:5" x14ac:dyDescent="0.3">
      <c r="A64" s="1">
        <v>45717</v>
      </c>
      <c r="B64" s="5">
        <v>130576731.69634998</v>
      </c>
      <c r="C64" s="7">
        <v>27603.108323</v>
      </c>
      <c r="D64" s="6">
        <v>36.970675</v>
      </c>
      <c r="E64" s="6">
        <v>14.070991192061861</v>
      </c>
    </row>
    <row r="65" spans="1:5" x14ac:dyDescent="0.3">
      <c r="A65" s="1">
        <v>45748</v>
      </c>
      <c r="B65" s="5">
        <v>142168176.45111001</v>
      </c>
      <c r="C65" s="7">
        <v>28068.58915</v>
      </c>
      <c r="D65" s="6">
        <v>38.021785000000001</v>
      </c>
      <c r="E65" s="6">
        <v>14.115056212942227</v>
      </c>
    </row>
    <row r="66" spans="1:5" x14ac:dyDescent="0.3">
      <c r="A66" s="1">
        <v>45778</v>
      </c>
      <c r="B66" s="5">
        <v>137893900.34689999</v>
      </c>
      <c r="C66" s="7">
        <v>27205.813638</v>
      </c>
      <c r="D66" s="6">
        <v>38.685355000000001</v>
      </c>
      <c r="E66" s="6">
        <v>13.961753599170779</v>
      </c>
    </row>
    <row r="67" spans="1:5" x14ac:dyDescent="0.3">
      <c r="A67" s="1">
        <v>45809</v>
      </c>
      <c r="B67" s="5">
        <v>134194236.86087</v>
      </c>
      <c r="C67" s="7">
        <v>24564.336266999999</v>
      </c>
      <c r="D67" s="6">
        <v>39.339226315788999</v>
      </c>
      <c r="E67" s="6">
        <v>14.663488225326326</v>
      </c>
    </row>
    <row r="68" spans="1:5" x14ac:dyDescent="0.3">
      <c r="A68" s="1">
        <v>45839</v>
      </c>
      <c r="B68" s="5">
        <v>165539670.83375001</v>
      </c>
      <c r="C68" s="7">
        <v>28440.098692</v>
      </c>
      <c r="D68" s="6">
        <v>40.106104545454997</v>
      </c>
      <c r="E68" s="6">
        <v>14.406120400092496</v>
      </c>
    </row>
    <row r="69" spans="1:5" x14ac:dyDescent="0.3">
      <c r="A69" s="1">
        <v>45870</v>
      </c>
      <c r="B69" s="5">
        <v>138727172.64308</v>
      </c>
      <c r="C69" s="7">
        <v>23508.407920000001</v>
      </c>
      <c r="D69" s="6">
        <v>40.728309523809997</v>
      </c>
      <c r="E69" s="6">
        <v>15.360281958435532</v>
      </c>
    </row>
    <row r="70" spans="1:5" x14ac:dyDescent="0.3">
      <c r="A70" s="1">
        <v>45901</v>
      </c>
      <c r="B70" s="5">
        <v>152504461.59336007</v>
      </c>
      <c r="C70" s="7">
        <v>25520.704599000001</v>
      </c>
      <c r="D70" s="6">
        <v>41.219213636364003</v>
      </c>
      <c r="E70" s="6">
        <v>15.31515427610011</v>
      </c>
    </row>
    <row r="71" spans="1:5" x14ac:dyDescent="0.3">
      <c r="A71" s="1">
        <v>45931</v>
      </c>
      <c r="B71" s="5">
        <v>158440111.01537991</v>
      </c>
      <c r="C71" s="7">
        <v>27120.040431000001</v>
      </c>
      <c r="D71" s="6">
        <v>41.730249999999998</v>
      </c>
      <c r="E71" s="6">
        <v>14.69079869392314</v>
      </c>
    </row>
    <row r="72" spans="1:5" x14ac:dyDescent="0.3">
      <c r="A72" s="1">
        <v>45962</v>
      </c>
      <c r="B72" s="5">
        <v>154139393.02099013</v>
      </c>
      <c r="C72" s="7">
        <v>27027.682078999998</v>
      </c>
      <c r="D72" s="6">
        <v>42.179160000000003</v>
      </c>
      <c r="E72" s="6">
        <v>14.388144152077107</v>
      </c>
    </row>
    <row r="73" spans="1:5" x14ac:dyDescent="0.3">
      <c r="A73" s="1">
        <v>45992</v>
      </c>
      <c r="B73" s="5">
        <v>186770355.57682991</v>
      </c>
      <c r="C73" s="7">
        <v>31827.290861000001</v>
      </c>
      <c r="D73" s="6">
        <v>42.586095652174002</v>
      </c>
      <c r="E73" s="6">
        <v>14.921944414934829</v>
      </c>
    </row>
    <row r="74" spans="1:5" x14ac:dyDescent="0.3">
      <c r="A74" s="1">
        <v>46023</v>
      </c>
      <c r="B74" s="5">
        <v>134355391.62211999</v>
      </c>
      <c r="C74" s="7">
        <v>25876.195346</v>
      </c>
      <c r="D74" s="6">
        <v>43.112466666666997</v>
      </c>
      <c r="E74" s="6">
        <v>13.496913442952929</v>
      </c>
    </row>
    <row r="75" spans="1:5" x14ac:dyDescent="0.3">
      <c r="A75" s="1">
        <v>46054</v>
      </c>
      <c r="B75" s="5">
        <v>147634039.02611998</v>
      </c>
      <c r="C75" s="7">
        <v>26353.726558000002</v>
      </c>
      <c r="D75" s="6">
        <v>43.585695000000001</v>
      </c>
      <c r="E75" s="6">
        <v>14.285709376622865</v>
      </c>
    </row>
    <row r="76" spans="1:5" x14ac:dyDescent="0.3">
      <c r="A76" s="1">
        <v>46082</v>
      </c>
      <c r="B76" s="5">
        <v>179843628.31717002</v>
      </c>
      <c r="C76" s="7">
        <v>29131.204725</v>
      </c>
      <c r="D76" s="6">
        <v>44.07372857</v>
      </c>
      <c r="E76" s="6">
        <v>15.239438433363198</v>
      </c>
    </row>
    <row r="77" spans="1:5" x14ac:dyDescent="0.3">
      <c r="A77" s="1">
        <v>46113</v>
      </c>
      <c r="B77" s="5">
        <v>189829170.77260995</v>
      </c>
      <c r="C77" s="7">
        <v>30260.770455448652</v>
      </c>
      <c r="D77" s="6">
        <v>44.649747619999999</v>
      </c>
      <c r="E77" s="6">
        <v>14.806335730493355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V77"/>
  <sheetViews>
    <sheetView tabSelected="1" workbookViewId="0">
      <pane xSplit="1" ySplit="1" topLeftCell="B49" activePane="bottomRight" state="frozen"/>
      <selection pane="topRight" activeCell="B1" sqref="B1"/>
      <selection pane="bottomLeft" activeCell="A2" sqref="A2"/>
      <selection pane="bottomRight" activeCell="E78" sqref="E78"/>
    </sheetView>
  </sheetViews>
  <sheetFormatPr defaultRowHeight="14.4" x14ac:dyDescent="0.3"/>
  <cols>
    <col min="2" max="2" width="25.6640625" customWidth="1"/>
    <col min="3" max="3" width="22" style="3" customWidth="1"/>
    <col min="4" max="4" width="19.109375" bestFit="1" customWidth="1"/>
    <col min="5" max="5" width="17.44140625" bestFit="1" customWidth="1"/>
    <col min="6" max="6" width="21.44140625" customWidth="1"/>
    <col min="7" max="7" width="19.109375" bestFit="1" customWidth="1"/>
  </cols>
  <sheetData>
    <row r="1" spans="1:22" ht="44.25" customHeight="1" x14ac:dyDescent="0.3">
      <c r="A1" s="11" t="s">
        <v>0</v>
      </c>
      <c r="B1" s="12" t="s">
        <v>19</v>
      </c>
      <c r="C1" s="18" t="s">
        <v>71</v>
      </c>
      <c r="D1" s="12" t="s">
        <v>33</v>
      </c>
      <c r="E1" s="12" t="s">
        <v>10</v>
      </c>
      <c r="F1" s="12" t="s">
        <v>34</v>
      </c>
      <c r="G1" s="11" t="s">
        <v>15</v>
      </c>
    </row>
    <row r="2" spans="1:22" x14ac:dyDescent="0.3">
      <c r="A2" s="1">
        <v>43831</v>
      </c>
      <c r="B2" s="7">
        <v>16602224.999999998</v>
      </c>
      <c r="C2" s="7">
        <v>382516.56206000102</v>
      </c>
      <c r="D2" s="8">
        <v>14.025066000000001</v>
      </c>
      <c r="E2" s="6">
        <v>76.77812041</v>
      </c>
      <c r="F2" s="7">
        <v>385031037</v>
      </c>
      <c r="G2" s="7">
        <v>12929533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3">
      <c r="A3" s="1">
        <v>43862</v>
      </c>
      <c r="B3" s="7">
        <v>12080066</v>
      </c>
      <c r="C3" s="7">
        <v>112299.16352</v>
      </c>
      <c r="D3" s="8">
        <v>14.074387</v>
      </c>
      <c r="E3" s="6">
        <v>79.255682109999995</v>
      </c>
      <c r="F3" s="7">
        <v>362918141</v>
      </c>
      <c r="G3" s="7">
        <v>11851488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3">
      <c r="A4" s="1">
        <v>43891</v>
      </c>
      <c r="B4" s="19">
        <f>4243075+3000000</f>
        <v>7243075</v>
      </c>
      <c r="C4" s="7">
        <v>159173.63119999599</v>
      </c>
      <c r="D4" s="8">
        <v>14.154809</v>
      </c>
      <c r="E4" s="6">
        <v>83.868503070000003</v>
      </c>
      <c r="F4" s="7">
        <v>362092083</v>
      </c>
      <c r="G4" s="7">
        <v>13359689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3">
      <c r="A5" s="1">
        <v>43922</v>
      </c>
      <c r="B5" s="19">
        <f>15462085-3000000</f>
        <v>12462085</v>
      </c>
      <c r="C5" s="7">
        <v>27653.414530002603</v>
      </c>
      <c r="D5" s="8">
        <v>14.275755</v>
      </c>
      <c r="E5" s="6">
        <v>60.01391615</v>
      </c>
      <c r="F5" s="7">
        <v>255384117</v>
      </c>
      <c r="G5" s="7">
        <v>12941927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3">
      <c r="A6" s="1">
        <v>43952</v>
      </c>
      <c r="B6" s="19">
        <v>7651557</v>
      </c>
      <c r="C6" s="7">
        <v>178502.24981000269</v>
      </c>
      <c r="D6" s="8">
        <v>14.470212</v>
      </c>
      <c r="E6" s="6">
        <v>64.740399010000004</v>
      </c>
      <c r="F6" s="7">
        <v>282769973</v>
      </c>
      <c r="G6" s="7">
        <v>11167509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3">
      <c r="A7" s="1">
        <v>43983</v>
      </c>
      <c r="B7" s="19">
        <v>8674276</v>
      </c>
      <c r="C7" s="7">
        <v>89959.993339996799</v>
      </c>
      <c r="D7" s="8">
        <v>14.634195999999999</v>
      </c>
      <c r="E7" s="6">
        <v>92.442555040000002</v>
      </c>
      <c r="F7" s="7">
        <v>352388306</v>
      </c>
      <c r="G7" s="7">
        <v>15237175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x14ac:dyDescent="0.3">
      <c r="A8" s="1">
        <v>44013</v>
      </c>
      <c r="B8" s="7">
        <v>14328224.999999998</v>
      </c>
      <c r="C8" s="7">
        <v>85274.307499998482</v>
      </c>
      <c r="D8" s="8">
        <v>14.719644000000001</v>
      </c>
      <c r="E8" s="6">
        <v>96.449971430000005</v>
      </c>
      <c r="F8" s="7">
        <v>407934368</v>
      </c>
      <c r="G8" s="7">
        <v>22018012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3">
      <c r="A9" s="1">
        <v>44044</v>
      </c>
      <c r="B9" s="7">
        <v>15200185</v>
      </c>
      <c r="C9" s="7">
        <v>61115.865599999874</v>
      </c>
      <c r="D9" s="8">
        <v>14.846873</v>
      </c>
      <c r="E9" s="6">
        <v>90.738942559999998</v>
      </c>
      <c r="F9" s="7">
        <v>379143414</v>
      </c>
      <c r="G9" s="7">
        <v>23181914</v>
      </c>
    </row>
    <row r="10" spans="1:22" x14ac:dyDescent="0.3">
      <c r="A10" s="1">
        <v>44075</v>
      </c>
      <c r="B10" s="7">
        <v>15918232</v>
      </c>
      <c r="C10" s="7">
        <v>135118.22531999831</v>
      </c>
      <c r="D10" s="8">
        <v>14.991381000000001</v>
      </c>
      <c r="E10" s="6">
        <v>103.43443062999999</v>
      </c>
      <c r="F10" s="7">
        <v>389663235</v>
      </c>
      <c r="G10" s="7">
        <v>20149131</v>
      </c>
    </row>
    <row r="11" spans="1:22" x14ac:dyDescent="0.3">
      <c r="A11" s="1">
        <v>44105</v>
      </c>
      <c r="B11" s="19">
        <v>17848182</v>
      </c>
      <c r="C11" s="7">
        <v>19783.33580999996</v>
      </c>
      <c r="D11" s="8">
        <v>15.310867999999999</v>
      </c>
      <c r="E11" s="6">
        <v>100.7576402</v>
      </c>
      <c r="F11" s="7">
        <v>411354708</v>
      </c>
      <c r="G11" s="7">
        <v>21440789</v>
      </c>
    </row>
    <row r="12" spans="1:22" x14ac:dyDescent="0.3">
      <c r="A12" s="1">
        <v>44136</v>
      </c>
      <c r="B12" s="19">
        <v>17452280</v>
      </c>
      <c r="C12" s="7">
        <v>4916.4779200000803</v>
      </c>
      <c r="D12" s="8">
        <v>15.662711</v>
      </c>
      <c r="E12" s="6">
        <v>101.99704620999999</v>
      </c>
      <c r="F12" s="7">
        <v>386305326</v>
      </c>
      <c r="G12" s="7">
        <v>21160583</v>
      </c>
    </row>
    <row r="13" spans="1:22" x14ac:dyDescent="0.3">
      <c r="A13" s="1">
        <v>44166</v>
      </c>
      <c r="B13" s="19">
        <v>19354373</v>
      </c>
      <c r="C13" s="7">
        <v>258540.72968000002</v>
      </c>
      <c r="D13" s="8">
        <v>15.858425</v>
      </c>
      <c r="E13" s="6">
        <v>112.80856781999999</v>
      </c>
      <c r="F13" s="7">
        <v>373242418</v>
      </c>
      <c r="G13" s="7">
        <v>21845452.999999996</v>
      </c>
    </row>
    <row r="14" spans="1:22" x14ac:dyDescent="0.3">
      <c r="A14" s="1">
        <v>44197</v>
      </c>
      <c r="B14" s="7">
        <v>20058200</v>
      </c>
      <c r="C14" s="7">
        <v>308163.02098999999</v>
      </c>
      <c r="D14" s="8">
        <v>16.125135</v>
      </c>
      <c r="E14" s="6">
        <v>80.830869890000002</v>
      </c>
      <c r="F14" s="7">
        <v>368956359</v>
      </c>
      <c r="G14" s="7">
        <v>16107407</v>
      </c>
    </row>
    <row r="15" spans="1:22" x14ac:dyDescent="0.3">
      <c r="A15" s="1">
        <v>44228</v>
      </c>
      <c r="B15" s="7">
        <v>15550247</v>
      </c>
      <c r="C15" s="7">
        <v>1149671.0306299999</v>
      </c>
      <c r="D15" s="8">
        <v>16.271526999999999</v>
      </c>
      <c r="E15" s="6">
        <v>85.804290159999994</v>
      </c>
      <c r="F15" s="7">
        <v>357724378</v>
      </c>
      <c r="G15" s="7">
        <v>14030112.000000002</v>
      </c>
    </row>
    <row r="16" spans="1:22" x14ac:dyDescent="0.3">
      <c r="A16" s="1">
        <v>44256</v>
      </c>
      <c r="B16" s="7">
        <v>17565549</v>
      </c>
      <c r="C16" s="7">
        <v>1862260.3315100032</v>
      </c>
      <c r="D16" s="8">
        <v>16.446507</v>
      </c>
      <c r="E16" s="6">
        <v>105.36357752000001</v>
      </c>
      <c r="F16" s="7">
        <v>431341502</v>
      </c>
      <c r="G16" s="7">
        <v>17843615.999999996</v>
      </c>
    </row>
    <row r="17" spans="1:7" x14ac:dyDescent="0.3">
      <c r="A17" s="1">
        <v>44287</v>
      </c>
      <c r="B17" s="7">
        <v>19729943</v>
      </c>
      <c r="C17" s="7">
        <v>422303.19809999998</v>
      </c>
      <c r="D17" s="8">
        <v>16.722640999999999</v>
      </c>
      <c r="E17" s="6">
        <v>91.199526599999999</v>
      </c>
      <c r="F17" s="7">
        <v>400717652</v>
      </c>
      <c r="G17" s="7">
        <v>16225648.000000002</v>
      </c>
    </row>
    <row r="18" spans="1:7" x14ac:dyDescent="0.3">
      <c r="A18" s="1">
        <v>44317</v>
      </c>
      <c r="B18" s="7">
        <v>17255744</v>
      </c>
      <c r="C18" s="7">
        <v>439388.17207999999</v>
      </c>
      <c r="D18" s="8">
        <v>16.871233</v>
      </c>
      <c r="E18" s="6">
        <v>82.962078180000006</v>
      </c>
      <c r="F18" s="7">
        <v>385186401</v>
      </c>
      <c r="G18" s="7">
        <v>13131108</v>
      </c>
    </row>
    <row r="19" spans="1:7" x14ac:dyDescent="0.3">
      <c r="A19" s="1">
        <v>44348</v>
      </c>
      <c r="B19" s="7">
        <v>17278168.999999996</v>
      </c>
      <c r="C19" s="7">
        <v>61041.472030000201</v>
      </c>
      <c r="D19" s="8">
        <v>17.198886999999999</v>
      </c>
      <c r="E19" s="6">
        <v>108.36128864</v>
      </c>
      <c r="F19" s="7">
        <v>465089144</v>
      </c>
      <c r="G19" s="7">
        <v>18224972</v>
      </c>
    </row>
    <row r="20" spans="1:7" x14ac:dyDescent="0.3">
      <c r="A20" s="1">
        <v>44378</v>
      </c>
      <c r="B20" s="7">
        <v>20249987</v>
      </c>
      <c r="C20" s="7">
        <v>927703.39506749599</v>
      </c>
      <c r="D20" s="8">
        <v>17.509264000000002</v>
      </c>
      <c r="E20" s="6">
        <v>89.681191440000006</v>
      </c>
      <c r="F20" s="7">
        <v>495344582</v>
      </c>
      <c r="G20" s="7">
        <v>18619845</v>
      </c>
    </row>
    <row r="21" spans="1:7" x14ac:dyDescent="0.3">
      <c r="A21" s="1">
        <v>44409</v>
      </c>
      <c r="B21" s="7">
        <v>23098539</v>
      </c>
      <c r="C21" s="7">
        <v>2949013.6090223198</v>
      </c>
      <c r="D21" s="8">
        <v>17.705290999999999</v>
      </c>
      <c r="E21" s="6">
        <v>101.39589085999999</v>
      </c>
      <c r="F21" s="7">
        <v>500783863</v>
      </c>
      <c r="G21" s="7">
        <v>18348053.999999996</v>
      </c>
    </row>
    <row r="22" spans="1:7" x14ac:dyDescent="0.3">
      <c r="A22" s="1">
        <v>44440</v>
      </c>
      <c r="B22" s="7">
        <v>33394127</v>
      </c>
      <c r="C22" s="7">
        <v>12142674.671330186</v>
      </c>
      <c r="D22" s="8">
        <v>17.927078999999999</v>
      </c>
      <c r="E22" s="6">
        <v>109.70058828000001</v>
      </c>
      <c r="F22" s="7">
        <v>500779254</v>
      </c>
      <c r="G22" s="7">
        <v>18343766.000000004</v>
      </c>
    </row>
    <row r="23" spans="1:7" x14ac:dyDescent="0.3">
      <c r="A23" s="1">
        <v>44470</v>
      </c>
      <c r="B23" s="7">
        <v>27253177</v>
      </c>
      <c r="C23" s="7">
        <v>5386229.6543499986</v>
      </c>
      <c r="D23" s="8">
        <v>18.356203000000001</v>
      </c>
      <c r="E23" s="6">
        <v>106.25515408</v>
      </c>
      <c r="F23" s="7">
        <v>506580885</v>
      </c>
      <c r="G23" s="7">
        <v>16549139.000000004</v>
      </c>
    </row>
    <row r="24" spans="1:7" x14ac:dyDescent="0.3">
      <c r="A24" s="1">
        <v>44501</v>
      </c>
      <c r="B24" s="7">
        <v>31497622.000000004</v>
      </c>
      <c r="C24" s="7">
        <v>6584125.2229800001</v>
      </c>
      <c r="D24" s="8">
        <v>19.000831000000002</v>
      </c>
      <c r="E24" s="6">
        <v>115.88604572</v>
      </c>
      <c r="F24" s="7">
        <v>501953034</v>
      </c>
      <c r="G24" s="7">
        <v>17997911</v>
      </c>
    </row>
    <row r="25" spans="1:7" x14ac:dyDescent="0.3">
      <c r="A25" s="1">
        <v>44531</v>
      </c>
      <c r="B25" s="7">
        <v>28808844.999999996</v>
      </c>
      <c r="C25" s="7">
        <v>997472.055730002</v>
      </c>
      <c r="D25" s="8">
        <v>21.580286999999998</v>
      </c>
      <c r="E25" s="6">
        <v>122.55949862</v>
      </c>
      <c r="F25" s="7">
        <v>513815245</v>
      </c>
      <c r="G25" s="7">
        <v>19970819</v>
      </c>
    </row>
    <row r="26" spans="1:7" x14ac:dyDescent="0.3">
      <c r="A26" s="1">
        <v>44562</v>
      </c>
      <c r="B26" s="7">
        <v>35078547</v>
      </c>
      <c r="C26" s="7">
        <v>2048283.1276499992</v>
      </c>
      <c r="D26" s="8">
        <v>23.976596000000001</v>
      </c>
      <c r="E26" s="6">
        <v>80.285100200000002</v>
      </c>
      <c r="F26" s="7">
        <v>496851355</v>
      </c>
      <c r="G26" s="7">
        <v>22202408</v>
      </c>
    </row>
    <row r="27" spans="1:7" x14ac:dyDescent="0.3">
      <c r="A27" s="1">
        <v>44593</v>
      </c>
      <c r="B27" s="7">
        <v>25002335</v>
      </c>
      <c r="C27" s="7">
        <v>321878.84921000025</v>
      </c>
      <c r="D27" s="8">
        <v>25.129512999999999</v>
      </c>
      <c r="E27" s="6">
        <v>87.169242859999997</v>
      </c>
      <c r="F27" s="7">
        <v>470837221</v>
      </c>
      <c r="G27" s="7">
        <v>18854907</v>
      </c>
    </row>
    <row r="28" spans="1:7" x14ac:dyDescent="0.3">
      <c r="A28" s="1">
        <v>44621</v>
      </c>
      <c r="B28" s="7">
        <v>29571682</v>
      </c>
      <c r="C28" s="7">
        <v>2097833.7835680242</v>
      </c>
      <c r="D28" s="8">
        <v>26.502647</v>
      </c>
      <c r="E28" s="6">
        <v>107.47665182</v>
      </c>
      <c r="F28" s="7">
        <v>542224031</v>
      </c>
      <c r="G28" s="7">
        <v>24777637.999999996</v>
      </c>
    </row>
    <row r="29" spans="1:7" x14ac:dyDescent="0.3">
      <c r="A29" s="1">
        <v>44652</v>
      </c>
      <c r="B29" s="7">
        <v>34076716</v>
      </c>
      <c r="C29" s="7">
        <v>357674.33258563076</v>
      </c>
      <c r="D29" s="8">
        <v>28.423653000000002</v>
      </c>
      <c r="E29" s="6">
        <v>103.81537351999999</v>
      </c>
      <c r="F29" s="7">
        <v>539476951</v>
      </c>
      <c r="G29" s="7">
        <v>30016632.999999996</v>
      </c>
    </row>
    <row r="30" spans="1:7" x14ac:dyDescent="0.3">
      <c r="A30" s="1">
        <v>44682</v>
      </c>
      <c r="B30" s="7">
        <v>35034207</v>
      </c>
      <c r="C30" s="7">
        <v>2073894.5619874934</v>
      </c>
      <c r="D30" s="8">
        <v>29.270904999999999</v>
      </c>
      <c r="E30" s="6">
        <v>97.698636149999999</v>
      </c>
      <c r="F30" s="7">
        <v>586255735</v>
      </c>
      <c r="G30" s="7">
        <v>30617290.999999996</v>
      </c>
    </row>
    <row r="31" spans="1:7" x14ac:dyDescent="0.3">
      <c r="A31" s="1">
        <v>44713</v>
      </c>
      <c r="B31" s="7">
        <v>37186769</v>
      </c>
      <c r="C31" s="7">
        <v>278046.47477162781</v>
      </c>
      <c r="D31" s="8">
        <v>30.720376999999999</v>
      </c>
      <c r="E31" s="6">
        <v>112.12855458999999</v>
      </c>
      <c r="F31" s="7">
        <v>598400284</v>
      </c>
      <c r="G31" s="7">
        <v>38907342</v>
      </c>
    </row>
    <row r="32" spans="1:7" x14ac:dyDescent="0.3">
      <c r="A32" s="1">
        <v>44743</v>
      </c>
      <c r="B32" s="7">
        <v>41747640</v>
      </c>
      <c r="C32" s="7">
        <v>1042281.0836731059</v>
      </c>
      <c r="D32" s="8">
        <v>31.446998000000001</v>
      </c>
      <c r="E32" s="6">
        <v>91.627973949999998</v>
      </c>
      <c r="F32" s="7">
        <v>602501555</v>
      </c>
      <c r="G32" s="7">
        <v>36296294</v>
      </c>
    </row>
    <row r="33" spans="1:7" x14ac:dyDescent="0.3">
      <c r="A33" s="1">
        <v>44774</v>
      </c>
      <c r="B33" s="7">
        <v>41688814</v>
      </c>
      <c r="C33" s="7">
        <v>1296150.7040457739</v>
      </c>
      <c r="D33" s="8">
        <v>31.906279999999999</v>
      </c>
      <c r="E33" s="6">
        <v>110.25594116000001</v>
      </c>
      <c r="F33" s="7">
        <v>631093749</v>
      </c>
      <c r="G33" s="7">
        <v>39351342</v>
      </c>
    </row>
    <row r="34" spans="1:7" x14ac:dyDescent="0.3">
      <c r="A34" s="1">
        <v>44805</v>
      </c>
      <c r="B34" s="7">
        <v>48478746.999999993</v>
      </c>
      <c r="C34" s="7">
        <v>865851.78452685208</v>
      </c>
      <c r="D34" s="8">
        <v>32.887672999999999</v>
      </c>
      <c r="E34" s="6">
        <v>118.52661629000001</v>
      </c>
      <c r="F34" s="7">
        <v>628289569</v>
      </c>
      <c r="G34" s="7">
        <v>37776210.999999993</v>
      </c>
    </row>
    <row r="35" spans="1:7" x14ac:dyDescent="0.3">
      <c r="A35" s="1">
        <v>44835</v>
      </c>
      <c r="B35" s="7">
        <v>51804596.999999993</v>
      </c>
      <c r="C35" s="7">
        <v>222609.0085767027</v>
      </c>
      <c r="D35" s="8">
        <v>34.053469999999997</v>
      </c>
      <c r="E35" s="6">
        <v>114.68831985</v>
      </c>
      <c r="F35" s="7">
        <v>639488485</v>
      </c>
      <c r="G35" s="7">
        <v>42309145.999999993</v>
      </c>
    </row>
    <row r="36" spans="1:7" x14ac:dyDescent="0.3">
      <c r="A36" s="1">
        <v>44866</v>
      </c>
      <c r="B36" s="7">
        <v>56254244.000000007</v>
      </c>
      <c r="C36" s="7">
        <v>885705.68541943072</v>
      </c>
      <c r="D36" s="8">
        <v>35.035491999999998</v>
      </c>
      <c r="E36" s="6">
        <v>117.70533426999999</v>
      </c>
      <c r="F36" s="7">
        <v>633334760</v>
      </c>
      <c r="G36" s="7">
        <v>46197886.000000007</v>
      </c>
    </row>
    <row r="37" spans="1:7" x14ac:dyDescent="0.3">
      <c r="A37" s="1">
        <v>44896</v>
      </c>
      <c r="B37" s="7">
        <v>61407076.271990009</v>
      </c>
      <c r="C37" s="7">
        <v>176359.7185779128</v>
      </c>
      <c r="D37" s="8">
        <v>35.449851000000002</v>
      </c>
      <c r="E37" s="6">
        <v>142.72105773000001</v>
      </c>
      <c r="F37" s="7">
        <v>661285660</v>
      </c>
      <c r="G37" s="7">
        <v>52484076.554779984</v>
      </c>
    </row>
    <row r="38" spans="1:7" x14ac:dyDescent="0.3">
      <c r="A38" s="1">
        <v>44927</v>
      </c>
      <c r="B38" s="7">
        <v>71748901.476290002</v>
      </c>
      <c r="C38" s="7">
        <v>438897.76493000431</v>
      </c>
      <c r="D38" s="8">
        <v>37.806891999999998</v>
      </c>
      <c r="E38" s="6">
        <v>109.17582350000001</v>
      </c>
      <c r="F38" s="7">
        <v>659124795</v>
      </c>
      <c r="G38" s="7">
        <v>44788414.999999993</v>
      </c>
    </row>
    <row r="39" spans="1:7" x14ac:dyDescent="0.3">
      <c r="A39" s="1">
        <v>44958</v>
      </c>
      <c r="B39" s="7">
        <v>51577235.408049993</v>
      </c>
      <c r="C39" s="7">
        <v>49340.759500003311</v>
      </c>
      <c r="D39" s="8">
        <v>38.995936</v>
      </c>
      <c r="E39" s="6">
        <v>100.13892537</v>
      </c>
      <c r="F39" s="7">
        <v>547103103</v>
      </c>
      <c r="G39" s="7">
        <v>42709223</v>
      </c>
    </row>
    <row r="40" spans="1:7" x14ac:dyDescent="0.3">
      <c r="A40" s="1">
        <v>44986</v>
      </c>
      <c r="B40" s="7">
        <v>50266954.04776001</v>
      </c>
      <c r="C40" s="7">
        <v>488573.66612999758</v>
      </c>
      <c r="D40" s="8">
        <v>39.888739999999999</v>
      </c>
      <c r="E40" s="6">
        <v>126.03551365</v>
      </c>
      <c r="F40" s="7">
        <v>650627999</v>
      </c>
      <c r="G40" s="7">
        <v>47776941.999999993</v>
      </c>
    </row>
    <row r="41" spans="1:7" x14ac:dyDescent="0.3">
      <c r="A41" s="1">
        <v>45017</v>
      </c>
      <c r="B41" s="7">
        <v>63893713.253659979</v>
      </c>
      <c r="C41" s="7">
        <v>2811380.7287199781</v>
      </c>
      <c r="D41" s="8">
        <v>40.840288999999999</v>
      </c>
      <c r="E41" s="6">
        <v>111.10178225999999</v>
      </c>
      <c r="F41" s="7">
        <v>650327596</v>
      </c>
      <c r="G41" s="7">
        <v>53607634</v>
      </c>
    </row>
    <row r="42" spans="1:7" x14ac:dyDescent="0.3">
      <c r="A42" s="1">
        <v>45047</v>
      </c>
      <c r="B42" s="7">
        <v>69808883.346930012</v>
      </c>
      <c r="C42" s="7">
        <v>6371314.9133400004</v>
      </c>
      <c r="D42" s="8">
        <v>40.857880999999999</v>
      </c>
      <c r="E42" s="6">
        <v>127.83620558</v>
      </c>
      <c r="F42" s="7">
        <v>725932184</v>
      </c>
      <c r="G42" s="7">
        <v>62441786.000000007</v>
      </c>
    </row>
    <row r="43" spans="1:7" x14ac:dyDescent="0.3">
      <c r="A43" s="1">
        <v>45078</v>
      </c>
      <c r="B43" s="7">
        <v>38735082.434419982</v>
      </c>
      <c r="C43" s="7">
        <v>13784941.93125</v>
      </c>
      <c r="D43" s="8">
        <v>42.459713999999998</v>
      </c>
      <c r="E43" s="6">
        <v>119.01101626000001</v>
      </c>
      <c r="F43" s="7">
        <v>742612505</v>
      </c>
      <c r="G43" s="7">
        <v>73743991</v>
      </c>
    </row>
    <row r="44" spans="1:7" x14ac:dyDescent="0.3">
      <c r="A44" s="1">
        <v>45108</v>
      </c>
      <c r="B44" s="7">
        <v>148312090.88813999</v>
      </c>
      <c r="C44" s="7">
        <v>33601760.5876</v>
      </c>
      <c r="D44" s="8">
        <v>46.488641999999999</v>
      </c>
      <c r="E44" s="6">
        <v>124.8381715</v>
      </c>
      <c r="F44" s="7">
        <v>799727796</v>
      </c>
      <c r="G44" s="7">
        <v>83578317</v>
      </c>
    </row>
    <row r="45" spans="1:7" x14ac:dyDescent="0.3">
      <c r="A45" s="1">
        <v>45139</v>
      </c>
      <c r="B45" s="7">
        <v>100902539.09381001</v>
      </c>
      <c r="C45" s="7">
        <v>10253153.51667</v>
      </c>
      <c r="D45" s="8">
        <v>50.712967999999996</v>
      </c>
      <c r="E45" s="6">
        <v>123.88571321000001</v>
      </c>
      <c r="F45" s="7">
        <v>820265023</v>
      </c>
      <c r="G45" s="7">
        <v>104099531</v>
      </c>
    </row>
    <row r="46" spans="1:7" x14ac:dyDescent="0.3">
      <c r="A46" s="1">
        <v>45170</v>
      </c>
      <c r="B46" s="7">
        <v>110574192.45954001</v>
      </c>
      <c r="C46" s="7">
        <v>3981166.1655100002</v>
      </c>
      <c r="D46" s="8">
        <v>53.123413999999997</v>
      </c>
      <c r="E46" s="6">
        <v>124.44670601999999</v>
      </c>
      <c r="F46" s="7">
        <v>800422090</v>
      </c>
      <c r="G46" s="7">
        <v>98769525</v>
      </c>
    </row>
    <row r="47" spans="1:7" x14ac:dyDescent="0.3">
      <c r="A47" s="1">
        <v>45200</v>
      </c>
      <c r="B47" s="7">
        <v>120736852.93201002</v>
      </c>
      <c r="C47" s="7">
        <v>6113950.7239099899</v>
      </c>
      <c r="D47" s="8">
        <v>54.947662000000001</v>
      </c>
      <c r="E47" s="6">
        <v>126.90572993000001</v>
      </c>
      <c r="F47" s="7">
        <v>809708434</v>
      </c>
      <c r="G47" s="7">
        <v>97434119</v>
      </c>
    </row>
    <row r="48" spans="1:7" x14ac:dyDescent="0.3">
      <c r="A48" s="1">
        <v>45231</v>
      </c>
      <c r="B48" s="7">
        <v>121848581.65511</v>
      </c>
      <c r="C48" s="7">
        <v>4706163.4259099998</v>
      </c>
      <c r="D48" s="8">
        <v>56.750548000000002</v>
      </c>
      <c r="E48" s="6">
        <v>127.81155261000001</v>
      </c>
      <c r="F48" s="7">
        <v>782228824</v>
      </c>
      <c r="G48" s="7">
        <v>102597833</v>
      </c>
    </row>
    <row r="49" spans="1:7" x14ac:dyDescent="0.3">
      <c r="A49" s="1">
        <v>45261</v>
      </c>
      <c r="B49" s="7">
        <v>135167428.64071995</v>
      </c>
      <c r="C49" s="7">
        <v>3378902.9313400104</v>
      </c>
      <c r="D49" s="8">
        <v>58.411754000000002</v>
      </c>
      <c r="E49" s="6">
        <v>151.34471138999999</v>
      </c>
      <c r="F49" s="7">
        <v>816604375</v>
      </c>
      <c r="G49" s="7">
        <v>116650118</v>
      </c>
    </row>
    <row r="50" spans="1:7" x14ac:dyDescent="0.3">
      <c r="A50" s="1">
        <v>45292</v>
      </c>
      <c r="B50" s="7">
        <v>161686090.97916999</v>
      </c>
      <c r="C50" s="7">
        <v>2380103.2283700001</v>
      </c>
      <c r="D50" s="8">
        <v>62.327275</v>
      </c>
      <c r="E50" s="6">
        <v>111.14214500999999</v>
      </c>
      <c r="F50" s="7">
        <v>802044790</v>
      </c>
      <c r="G50" s="7">
        <v>97707150.078009993</v>
      </c>
    </row>
    <row r="51" spans="1:7" x14ac:dyDescent="0.3">
      <c r="A51" s="1">
        <v>45323</v>
      </c>
      <c r="B51" s="7">
        <v>134084759.68830003</v>
      </c>
      <c r="C51" s="7">
        <v>2321969.5666399999</v>
      </c>
      <c r="D51" s="8">
        <v>65.150194999999997</v>
      </c>
      <c r="E51" s="6">
        <v>117.36853825999999</v>
      </c>
      <c r="F51" s="7">
        <v>768640435</v>
      </c>
      <c r="G51" s="7">
        <v>88849948.491420001</v>
      </c>
    </row>
    <row r="52" spans="1:7" x14ac:dyDescent="0.3">
      <c r="A52" s="1">
        <v>45352</v>
      </c>
      <c r="B52" s="7">
        <v>130127319.22258997</v>
      </c>
      <c r="C52" s="7">
        <v>1634365.8488400099</v>
      </c>
      <c r="D52" s="8">
        <v>67.210680999999994</v>
      </c>
      <c r="E52" s="6">
        <v>136.58782951000001</v>
      </c>
      <c r="F52" s="7">
        <v>817979221</v>
      </c>
      <c r="G52" s="7">
        <v>96595643.138870001</v>
      </c>
    </row>
    <row r="53" spans="1:7" x14ac:dyDescent="0.3">
      <c r="A53" s="1">
        <v>45383</v>
      </c>
      <c r="B53" s="7">
        <v>140623001.36104006</v>
      </c>
      <c r="C53" s="7">
        <v>2855078.1149199801</v>
      </c>
      <c r="D53" s="8">
        <v>69.347819000000001</v>
      </c>
      <c r="E53" s="6">
        <v>112.53727732999999</v>
      </c>
      <c r="F53" s="7">
        <v>820989204</v>
      </c>
      <c r="G53" s="7">
        <v>97575352.863500014</v>
      </c>
    </row>
    <row r="54" spans="1:7" x14ac:dyDescent="0.3">
      <c r="A54" s="1">
        <v>45413</v>
      </c>
      <c r="B54" s="7">
        <v>151527151.46392003</v>
      </c>
      <c r="C54" s="7">
        <v>2264351.9856400099</v>
      </c>
      <c r="D54" s="8">
        <v>71.683497000000003</v>
      </c>
      <c r="E54" s="6">
        <v>128.4977858</v>
      </c>
      <c r="F54" s="7">
        <v>900303766</v>
      </c>
      <c r="G54" s="7">
        <v>116327137.32456003</v>
      </c>
    </row>
    <row r="55" spans="1:7" x14ac:dyDescent="0.3">
      <c r="A55" s="1">
        <v>45444</v>
      </c>
      <c r="B55" s="7">
        <v>153266339.44491994</v>
      </c>
      <c r="C55" s="7">
        <v>673760.09363999905</v>
      </c>
      <c r="D55" s="8">
        <v>72.859662</v>
      </c>
      <c r="E55" s="6">
        <v>115.99441547000001</v>
      </c>
      <c r="F55" s="7">
        <v>887542468</v>
      </c>
      <c r="G55" s="7">
        <v>111671261.03940998</v>
      </c>
    </row>
    <row r="56" spans="1:7" x14ac:dyDescent="0.3">
      <c r="A56" s="1">
        <v>45474</v>
      </c>
      <c r="B56" s="7">
        <v>159836368.99107999</v>
      </c>
      <c r="C56" s="7">
        <v>1326764.8338999902</v>
      </c>
      <c r="D56" s="8">
        <v>75.209790999999996</v>
      </c>
      <c r="E56" s="6">
        <v>129.28027351</v>
      </c>
      <c r="F56" s="7">
        <v>939020035</v>
      </c>
      <c r="G56" s="7">
        <v>134788262.7726</v>
      </c>
    </row>
    <row r="57" spans="1:7" x14ac:dyDescent="0.3">
      <c r="A57" s="1">
        <v>45505</v>
      </c>
      <c r="B57" s="7">
        <v>173158404.68280002</v>
      </c>
      <c r="C57" s="7">
        <v>646940.34877998405</v>
      </c>
      <c r="D57" s="8">
        <v>77.070794000000006</v>
      </c>
      <c r="E57" s="6">
        <v>131.68717056</v>
      </c>
      <c r="F57" s="7">
        <v>926683487</v>
      </c>
      <c r="G57" s="7">
        <v>128202743.47917004</v>
      </c>
    </row>
    <row r="58" spans="1:7" x14ac:dyDescent="0.3">
      <c r="A58" s="1">
        <v>45536</v>
      </c>
      <c r="B58" s="7">
        <v>174997510.84031996</v>
      </c>
      <c r="C58" s="7">
        <v>1104753.2919400302</v>
      </c>
      <c r="D58" s="8">
        <v>79.358407999999997</v>
      </c>
      <c r="E58" s="6">
        <v>138.28945092999999</v>
      </c>
      <c r="F58" s="7">
        <v>908980116</v>
      </c>
      <c r="G58" s="7">
        <v>127117534.99018992</v>
      </c>
    </row>
    <row r="59" spans="1:7" x14ac:dyDescent="0.3">
      <c r="A59" s="1">
        <v>45566</v>
      </c>
      <c r="B59" s="7">
        <v>195553253.39064997</v>
      </c>
      <c r="C59" s="7">
        <v>859739.97975997906</v>
      </c>
      <c r="D59" s="8">
        <v>81.643822999999998</v>
      </c>
      <c r="E59" s="6">
        <v>137.61952220000001</v>
      </c>
      <c r="F59" s="7">
        <v>919044440</v>
      </c>
      <c r="G59" s="7">
        <v>138999909.30607003</v>
      </c>
    </row>
    <row r="60" spans="1:7" x14ac:dyDescent="0.3">
      <c r="A60" s="1">
        <v>45597</v>
      </c>
      <c r="B60" s="7">
        <v>202150819.06204</v>
      </c>
      <c r="C60" s="7">
        <v>632331.75822998001</v>
      </c>
      <c r="D60" s="8">
        <v>83.475925000000004</v>
      </c>
      <c r="E60" s="6">
        <v>139.59997799999999</v>
      </c>
      <c r="F60" s="7">
        <v>883752054</v>
      </c>
      <c r="G60" s="7">
        <v>140548925.77937001</v>
      </c>
    </row>
    <row r="61" spans="1:7" x14ac:dyDescent="0.3">
      <c r="A61" s="1">
        <v>45627</v>
      </c>
      <c r="B61" s="7">
        <v>215572766.05257013</v>
      </c>
      <c r="C61" s="7">
        <v>3378902.9313400104</v>
      </c>
      <c r="D61" s="8">
        <v>84.334173000000007</v>
      </c>
      <c r="E61" s="6">
        <v>168.66470292</v>
      </c>
      <c r="F61" s="7">
        <v>912351169</v>
      </c>
      <c r="G61" s="7">
        <v>172876583.43932992</v>
      </c>
    </row>
    <row r="62" spans="1:7" x14ac:dyDescent="0.3">
      <c r="A62" s="1">
        <v>45658</v>
      </c>
      <c r="B62" s="7">
        <v>240607377.26791</v>
      </c>
      <c r="C62" s="7">
        <v>562143.18538000504</v>
      </c>
      <c r="D62" s="8">
        <v>88.578290999999993</v>
      </c>
      <c r="E62" s="6">
        <v>117.70716298000001</v>
      </c>
      <c r="F62" s="7">
        <v>899716098</v>
      </c>
      <c r="G62" s="7">
        <v>135058701.85327002</v>
      </c>
    </row>
    <row r="63" spans="1:7" x14ac:dyDescent="0.3">
      <c r="A63" s="1">
        <v>45689</v>
      </c>
      <c r="B63" s="7">
        <v>181501099.75356001</v>
      </c>
      <c r="C63" s="7">
        <v>1835275.6756199999</v>
      </c>
      <c r="D63" s="8">
        <v>90.591970000000003</v>
      </c>
      <c r="E63" s="6">
        <v>121.48950856</v>
      </c>
      <c r="F63" s="7">
        <v>808371679</v>
      </c>
      <c r="G63" s="7">
        <v>125976873.12116</v>
      </c>
    </row>
    <row r="64" spans="1:7" x14ac:dyDescent="0.3">
      <c r="A64" s="1">
        <v>45717</v>
      </c>
      <c r="B64" s="7">
        <v>192452777.59882998</v>
      </c>
      <c r="C64" s="7">
        <v>921138.78202002007</v>
      </c>
      <c r="D64" s="8">
        <v>92.820524000000006</v>
      </c>
      <c r="E64" s="6">
        <v>145.48357157999999</v>
      </c>
      <c r="F64" s="7">
        <v>895762177</v>
      </c>
      <c r="G64" s="7">
        <v>132558238.25878999</v>
      </c>
    </row>
    <row r="65" spans="1:7" x14ac:dyDescent="0.3">
      <c r="A65" s="1">
        <v>45748</v>
      </c>
      <c r="B65" s="7">
        <v>203006464.74043</v>
      </c>
      <c r="C65" s="7">
        <v>344259.17431998899</v>
      </c>
      <c r="D65" s="8">
        <v>95.601977000000005</v>
      </c>
      <c r="E65" s="6">
        <v>134.27161190999999</v>
      </c>
      <c r="F65" s="7">
        <v>896461358</v>
      </c>
      <c r="G65" s="7">
        <v>141810748.02570999</v>
      </c>
    </row>
    <row r="66" spans="1:7" x14ac:dyDescent="0.3">
      <c r="A66" s="1">
        <v>45778</v>
      </c>
      <c r="B66" s="7">
        <v>199762461.89834991</v>
      </c>
      <c r="C66" s="7">
        <v>626466.92387000099</v>
      </c>
      <c r="D66" s="8">
        <v>97.063070999999994</v>
      </c>
      <c r="E66" s="6">
        <v>148.55870211999999</v>
      </c>
      <c r="F66" s="7">
        <v>1008385371</v>
      </c>
      <c r="G66" s="7">
        <v>143604043.93760997</v>
      </c>
    </row>
    <row r="67" spans="1:7" x14ac:dyDescent="0.3">
      <c r="A67" s="1">
        <v>45809</v>
      </c>
      <c r="B67" s="7">
        <v>211143586.74664009</v>
      </c>
      <c r="C67" s="7">
        <v>394449.83770999499</v>
      </c>
      <c r="D67" s="8">
        <v>98.395994999999999</v>
      </c>
      <c r="E67" s="6">
        <v>143.06556968000001</v>
      </c>
      <c r="F67" s="7">
        <v>964664110</v>
      </c>
      <c r="G67" s="7">
        <v>163851349.82965991</v>
      </c>
    </row>
    <row r="68" spans="1:7" x14ac:dyDescent="0.3">
      <c r="A68" s="1">
        <v>45839</v>
      </c>
      <c r="B68" s="7">
        <v>232250342.24873984</v>
      </c>
      <c r="C68" s="7">
        <v>562463.31752999907</v>
      </c>
      <c r="D68" s="8">
        <v>100.421925</v>
      </c>
      <c r="E68" s="6">
        <v>144.74935528</v>
      </c>
      <c r="F68" s="7">
        <v>1039154225</v>
      </c>
      <c r="G68" s="7">
        <v>181452777.9534201</v>
      </c>
    </row>
    <row r="69" spans="1:7" x14ac:dyDescent="0.3">
      <c r="A69" s="1">
        <v>45870</v>
      </c>
      <c r="B69" s="7">
        <v>235016414.32256019</v>
      </c>
      <c r="C69" s="7">
        <v>620631.55206000712</v>
      </c>
      <c r="D69" s="8">
        <v>102.465761</v>
      </c>
      <c r="E69" s="6">
        <v>137.98910595999999</v>
      </c>
      <c r="F69" s="7">
        <v>1032820764</v>
      </c>
      <c r="G69" s="7">
        <v>189458560.91068</v>
      </c>
    </row>
    <row r="70" spans="1:7" x14ac:dyDescent="0.3">
      <c r="A70" s="1">
        <v>45901</v>
      </c>
      <c r="B70" s="7">
        <v>252049034.70934993</v>
      </c>
      <c r="C70" s="7">
        <v>412125.74248999404</v>
      </c>
      <c r="D70" s="8">
        <v>105.780006</v>
      </c>
      <c r="E70" s="6">
        <v>157.84237956000001</v>
      </c>
      <c r="F70" s="7">
        <v>1004663234</v>
      </c>
      <c r="G70" s="7">
        <v>180385820.79449996</v>
      </c>
    </row>
    <row r="71" spans="1:7" x14ac:dyDescent="0.3">
      <c r="A71" s="1">
        <v>45931</v>
      </c>
      <c r="B71" s="7">
        <v>268128611.91981995</v>
      </c>
      <c r="C71" s="7">
        <v>787955.39613000094</v>
      </c>
      <c r="D71" s="8">
        <v>108.477581</v>
      </c>
      <c r="E71" s="6">
        <v>147.23838334999999</v>
      </c>
      <c r="F71" s="7">
        <v>1009935797</v>
      </c>
      <c r="G71" s="7">
        <v>186189372.31287998</v>
      </c>
    </row>
    <row r="72" spans="1:7" x14ac:dyDescent="0.3">
      <c r="A72" s="1">
        <v>45962</v>
      </c>
      <c r="B72" s="7">
        <v>253924181.48315009</v>
      </c>
      <c r="C72" s="7">
        <v>300964.32665000402</v>
      </c>
      <c r="D72" s="8">
        <v>109.415936</v>
      </c>
      <c r="E72" s="6">
        <v>144.77935787999999</v>
      </c>
      <c r="F72" s="7">
        <v>994976758</v>
      </c>
      <c r="G72" s="7">
        <v>206545968.54881003</v>
      </c>
    </row>
    <row r="73" spans="1:7" x14ac:dyDescent="0.3">
      <c r="A73" s="1">
        <v>45992</v>
      </c>
      <c r="B73" s="7">
        <v>283274316.84818995</v>
      </c>
      <c r="C73" s="7">
        <v>758111.46935999591</v>
      </c>
      <c r="D73" s="8">
        <v>110.38696299999999</v>
      </c>
      <c r="E73" s="6">
        <v>181.79312259</v>
      </c>
      <c r="F73" s="7">
        <v>1019555044</v>
      </c>
      <c r="G73" s="7">
        <v>237422831.53399003</v>
      </c>
    </row>
    <row r="74" spans="1:7" x14ac:dyDescent="0.3">
      <c r="A74" s="1">
        <v>46023</v>
      </c>
      <c r="B74" s="19">
        <f>375885626.23821-26200000</f>
        <v>349685626.23821002</v>
      </c>
      <c r="C74" s="7">
        <v>323783.99466995802</v>
      </c>
      <c r="D74" s="8">
        <v>115.73</v>
      </c>
      <c r="E74" s="6">
        <v>126.51926272999999</v>
      </c>
      <c r="F74" s="7">
        <v>983730708</v>
      </c>
      <c r="G74" s="7">
        <v>172090863.46120998</v>
      </c>
    </row>
    <row r="75" spans="1:7" x14ac:dyDescent="0.3">
      <c r="A75" s="1">
        <v>46054</v>
      </c>
      <c r="B75" s="19">
        <f>132734120.69747+100000000</f>
        <v>232734120.69747001</v>
      </c>
      <c r="C75" s="7">
        <v>597236.00989006099</v>
      </c>
      <c r="D75" s="8">
        <v>119.16</v>
      </c>
      <c r="E75" s="6">
        <v>126.62125627</v>
      </c>
      <c r="F75" s="7">
        <v>893646527</v>
      </c>
      <c r="G75" s="7">
        <v>152599454.69731</v>
      </c>
    </row>
    <row r="76" spans="1:7" x14ac:dyDescent="0.3">
      <c r="A76" s="1">
        <v>46082</v>
      </c>
      <c r="B76" s="19">
        <f>332516674.60972-100000000</f>
        <v>232516674.60971999</v>
      </c>
      <c r="C76" s="7">
        <v>768842.625419989</v>
      </c>
      <c r="D76" s="8">
        <v>121.47</v>
      </c>
      <c r="E76" s="6">
        <v>144.79896091000001</v>
      </c>
      <c r="F76" s="7">
        <v>994260748</v>
      </c>
      <c r="G76" s="7">
        <v>171057546.17944002</v>
      </c>
    </row>
    <row r="77" spans="1:7" x14ac:dyDescent="0.3">
      <c r="A77" s="1">
        <v>46113</v>
      </c>
      <c r="B77" s="7">
        <v>255416971.43682006</v>
      </c>
      <c r="C77" s="7">
        <v>514789.61276002094</v>
      </c>
      <c r="D77" s="8">
        <v>126.55</v>
      </c>
      <c r="E77" s="23">
        <f>+E76</f>
        <v>144.79896091000001</v>
      </c>
      <c r="F77" s="7">
        <v>1037851448</v>
      </c>
      <c r="G77" s="7">
        <v>125153344.83767995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7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" sqref="E2:E78"/>
    </sheetView>
  </sheetViews>
  <sheetFormatPr defaultRowHeight="14.4" x14ac:dyDescent="0.3"/>
  <cols>
    <col min="2" max="2" width="22" bestFit="1" customWidth="1"/>
    <col min="3" max="3" width="22" style="3" customWidth="1"/>
    <col min="4" max="4" width="14.33203125" bestFit="1" customWidth="1"/>
    <col min="5" max="5" width="11.88671875" bestFit="1" customWidth="1"/>
    <col min="6" max="6" width="17.33203125" bestFit="1" customWidth="1"/>
    <col min="7" max="7" width="25.5546875" bestFit="1" customWidth="1"/>
    <col min="8" max="8" width="17.44140625" bestFit="1" customWidth="1"/>
    <col min="9" max="9" width="19.109375" bestFit="1" customWidth="1"/>
    <col min="10" max="10" width="17.44140625" bestFit="1" customWidth="1"/>
  </cols>
  <sheetData>
    <row r="1" spans="1:19" ht="40.5" customHeight="1" x14ac:dyDescent="0.3">
      <c r="A1" s="12" t="s">
        <v>0</v>
      </c>
      <c r="B1" s="12" t="s">
        <v>17</v>
      </c>
      <c r="C1" s="18" t="s">
        <v>68</v>
      </c>
      <c r="D1" s="12" t="s">
        <v>2</v>
      </c>
      <c r="E1" s="12" t="s">
        <v>1</v>
      </c>
      <c r="F1" s="12" t="s">
        <v>20</v>
      </c>
      <c r="G1" s="11" t="s">
        <v>21</v>
      </c>
      <c r="H1" s="2"/>
      <c r="I1" s="2"/>
      <c r="J1" s="2"/>
    </row>
    <row r="2" spans="1:19" x14ac:dyDescent="0.3">
      <c r="A2" s="1">
        <v>43831</v>
      </c>
      <c r="B2" s="7">
        <v>4504496</v>
      </c>
      <c r="C2" s="7">
        <v>929747.68037819921</v>
      </c>
      <c r="D2" s="7">
        <v>450476.64906899998</v>
      </c>
      <c r="E2" s="7">
        <v>2238896.360909</v>
      </c>
      <c r="F2" s="6">
        <v>2.3765000000000001</v>
      </c>
      <c r="G2" s="6">
        <v>1.7945</v>
      </c>
      <c r="H2" s="3"/>
      <c r="I2" s="3"/>
      <c r="J2" s="7"/>
      <c r="K2" s="3"/>
      <c r="L2" s="3"/>
      <c r="M2" s="3"/>
      <c r="N2" s="3"/>
      <c r="O2" s="3"/>
      <c r="P2" s="3"/>
      <c r="Q2" s="3"/>
      <c r="R2" s="3"/>
      <c r="S2" s="3"/>
    </row>
    <row r="3" spans="1:19" x14ac:dyDescent="0.3">
      <c r="A3" s="1">
        <v>43862</v>
      </c>
      <c r="B3" s="7">
        <v>5028873</v>
      </c>
      <c r="C3" s="7">
        <v>937800.01738954522</v>
      </c>
      <c r="D3" s="7">
        <v>473411.25062800001</v>
      </c>
      <c r="E3" s="7">
        <v>2311510.7000270002</v>
      </c>
      <c r="F3" s="6">
        <v>2.3765000000000001</v>
      </c>
      <c r="G3" s="6">
        <v>1.9058999999999999</v>
      </c>
      <c r="H3" s="3"/>
      <c r="I3" s="3"/>
      <c r="J3" s="7"/>
      <c r="K3" s="3"/>
      <c r="L3" s="3"/>
      <c r="M3" s="3"/>
      <c r="N3" s="3"/>
      <c r="O3" s="3"/>
      <c r="P3" s="3"/>
      <c r="Q3" s="3"/>
      <c r="R3" s="3"/>
      <c r="S3" s="3"/>
    </row>
    <row r="4" spans="1:19" x14ac:dyDescent="0.3">
      <c r="A4" s="1">
        <v>43891</v>
      </c>
      <c r="B4" s="7">
        <v>5084530</v>
      </c>
      <c r="C4" s="7">
        <v>1093397.0632602458</v>
      </c>
      <c r="D4" s="7">
        <v>408918.78564399999</v>
      </c>
      <c r="E4" s="7">
        <v>2214481.6583730001</v>
      </c>
      <c r="F4" s="6">
        <v>2.5265</v>
      </c>
      <c r="G4" s="6">
        <v>2.0558999999999998</v>
      </c>
      <c r="H4" s="3"/>
      <c r="I4" s="3"/>
      <c r="J4" s="7"/>
      <c r="K4" s="3"/>
      <c r="L4" s="3"/>
      <c r="M4" s="3"/>
      <c r="N4" s="3"/>
      <c r="O4" s="3"/>
      <c r="P4" s="3"/>
      <c r="Q4" s="3"/>
      <c r="R4" s="3"/>
      <c r="S4" s="3"/>
    </row>
    <row r="5" spans="1:19" x14ac:dyDescent="0.3">
      <c r="A5" s="1">
        <v>43922</v>
      </c>
      <c r="B5" s="7">
        <v>4833158</v>
      </c>
      <c r="C5" s="7">
        <v>0</v>
      </c>
      <c r="D5" s="7">
        <v>277822.11455300002</v>
      </c>
      <c r="E5" s="7">
        <v>2070134.858276</v>
      </c>
      <c r="F5" s="6">
        <v>2.5265</v>
      </c>
      <c r="G5" s="6">
        <v>2.0558999999999998</v>
      </c>
      <c r="H5" s="3"/>
      <c r="I5" s="3"/>
      <c r="J5" s="7"/>
      <c r="K5" s="3"/>
      <c r="L5" s="3"/>
      <c r="M5" s="3"/>
      <c r="N5" s="3"/>
      <c r="O5" s="3"/>
      <c r="P5" s="3"/>
      <c r="Q5" s="3"/>
      <c r="R5" s="3"/>
      <c r="S5" s="3"/>
    </row>
    <row r="6" spans="1:19" x14ac:dyDescent="0.3">
      <c r="A6" s="1">
        <v>43952</v>
      </c>
      <c r="B6" s="7">
        <v>4783775</v>
      </c>
      <c r="C6" s="7">
        <v>0</v>
      </c>
      <c r="D6" s="7">
        <v>203410.702021</v>
      </c>
      <c r="E6" s="7">
        <v>2056183.229418</v>
      </c>
      <c r="F6" s="6">
        <v>2.5265</v>
      </c>
      <c r="G6" s="6">
        <v>2.0558999999999998</v>
      </c>
      <c r="H6" s="3"/>
      <c r="I6" s="3"/>
      <c r="J6" s="7"/>
      <c r="K6" s="3"/>
      <c r="L6" s="3"/>
      <c r="M6" s="3"/>
      <c r="N6" s="3"/>
      <c r="O6" s="3"/>
      <c r="P6" s="3"/>
      <c r="Q6" s="3"/>
      <c r="R6" s="3"/>
      <c r="S6" s="3"/>
    </row>
    <row r="7" spans="1:19" x14ac:dyDescent="0.3">
      <c r="A7" s="1">
        <v>43983</v>
      </c>
      <c r="B7" s="7">
        <v>5212676</v>
      </c>
      <c r="C7" s="7">
        <v>0</v>
      </c>
      <c r="D7" s="7">
        <v>255861.108007</v>
      </c>
      <c r="E7" s="7">
        <v>2271054.2914320002</v>
      </c>
      <c r="F7" s="6">
        <v>2.5265</v>
      </c>
      <c r="G7" s="6">
        <v>2.0558999999999998</v>
      </c>
      <c r="H7" s="3"/>
      <c r="I7" s="3"/>
      <c r="J7" s="7"/>
      <c r="K7" s="3"/>
      <c r="L7" s="3"/>
      <c r="M7" s="3"/>
      <c r="N7" s="3"/>
      <c r="O7" s="3"/>
      <c r="P7" s="3"/>
      <c r="Q7" s="3"/>
      <c r="R7" s="3"/>
      <c r="S7" s="3"/>
    </row>
    <row r="8" spans="1:19" x14ac:dyDescent="0.3">
      <c r="A8" s="1">
        <v>44013</v>
      </c>
      <c r="B8" s="7">
        <v>6416774</v>
      </c>
      <c r="C8" s="7">
        <v>0</v>
      </c>
      <c r="D8" s="7">
        <v>489551.34857199999</v>
      </c>
      <c r="E8" s="7">
        <v>2793993.801008</v>
      </c>
      <c r="F8" s="6">
        <v>2.5265</v>
      </c>
      <c r="G8" s="6">
        <v>2.0558999999999998</v>
      </c>
      <c r="H8" s="3"/>
      <c r="I8" s="3"/>
      <c r="J8" s="7"/>
      <c r="K8" s="3"/>
      <c r="L8" s="3"/>
      <c r="M8" s="3"/>
      <c r="N8" s="3"/>
      <c r="O8" s="3"/>
      <c r="P8" s="3"/>
      <c r="Q8" s="3"/>
      <c r="R8" s="3"/>
      <c r="S8" s="3"/>
    </row>
    <row r="9" spans="1:19" x14ac:dyDescent="0.3">
      <c r="A9" s="1">
        <v>44044</v>
      </c>
      <c r="B9" s="7">
        <v>7962230</v>
      </c>
      <c r="C9" s="7">
        <v>0</v>
      </c>
      <c r="D9" s="7">
        <v>703298.30445399997</v>
      </c>
      <c r="E9" s="7">
        <v>2991621.532474</v>
      </c>
      <c r="F9" s="6">
        <v>2.5265</v>
      </c>
      <c r="G9" s="6">
        <v>2.0558999999999998</v>
      </c>
      <c r="J9" s="7"/>
    </row>
    <row r="10" spans="1:19" x14ac:dyDescent="0.3">
      <c r="A10" s="1">
        <v>44075</v>
      </c>
      <c r="B10" s="7">
        <v>6747860</v>
      </c>
      <c r="C10" s="7">
        <v>92002.49483605058</v>
      </c>
      <c r="D10" s="7">
        <v>573569.970432</v>
      </c>
      <c r="E10" s="7">
        <v>2877311.6548060002</v>
      </c>
      <c r="F10" s="6">
        <v>2.5265</v>
      </c>
      <c r="G10" s="6">
        <v>2.0558999999999998</v>
      </c>
      <c r="J10" s="7"/>
    </row>
    <row r="11" spans="1:19" x14ac:dyDescent="0.3">
      <c r="A11" s="1">
        <v>44105</v>
      </c>
      <c r="B11" s="7">
        <v>6566729</v>
      </c>
      <c r="C11" s="7">
        <v>69196.562196160812</v>
      </c>
      <c r="D11" s="7">
        <v>568010.44139599998</v>
      </c>
      <c r="E11" s="7">
        <v>2933019.7953860001</v>
      </c>
      <c r="F11" s="6">
        <v>2.5265</v>
      </c>
      <c r="G11" s="6">
        <v>2.0558999999999998</v>
      </c>
      <c r="J11" s="7"/>
    </row>
    <row r="12" spans="1:19" x14ac:dyDescent="0.3">
      <c r="A12" s="1">
        <v>44136</v>
      </c>
      <c r="B12" s="7">
        <v>6314597</v>
      </c>
      <c r="C12" s="7">
        <v>252585.09855690863</v>
      </c>
      <c r="D12" s="7">
        <v>521425.91900499997</v>
      </c>
      <c r="E12" s="7">
        <v>2895414.7976620002</v>
      </c>
      <c r="F12" s="6">
        <v>2.5265</v>
      </c>
      <c r="G12" s="6">
        <v>2.0558999999999998</v>
      </c>
      <c r="J12" s="7"/>
    </row>
    <row r="13" spans="1:19" x14ac:dyDescent="0.3">
      <c r="A13" s="1">
        <v>44166</v>
      </c>
      <c r="B13" s="7">
        <v>5553764</v>
      </c>
      <c r="C13" s="7">
        <v>1838847.8382868953</v>
      </c>
      <c r="D13" s="7">
        <v>440700.24439299997</v>
      </c>
      <c r="E13" s="7">
        <v>2629791.3866579998</v>
      </c>
      <c r="F13" s="6">
        <v>2.5265</v>
      </c>
      <c r="G13" s="6">
        <v>2.0558999999999998</v>
      </c>
      <c r="J13" s="7"/>
    </row>
    <row r="14" spans="1:19" x14ac:dyDescent="0.3">
      <c r="A14" s="1">
        <v>44197</v>
      </c>
      <c r="B14" s="7">
        <v>4282782</v>
      </c>
      <c r="C14" s="7">
        <v>5296848.3918611733</v>
      </c>
      <c r="D14" s="7">
        <v>353479.31269200001</v>
      </c>
      <c r="E14" s="7">
        <v>2152328.949819</v>
      </c>
      <c r="F14" s="6">
        <v>2.5265</v>
      </c>
      <c r="G14" s="6">
        <v>2.0558999999999998</v>
      </c>
      <c r="J14" s="7"/>
    </row>
    <row r="15" spans="1:19" x14ac:dyDescent="0.3">
      <c r="A15" s="1">
        <v>44228</v>
      </c>
      <c r="B15" s="7">
        <v>4221504</v>
      </c>
      <c r="C15" s="7">
        <v>4987779.4427725635</v>
      </c>
      <c r="D15" s="7">
        <v>411843.96782000002</v>
      </c>
      <c r="E15" s="7">
        <v>2113422.9837460001</v>
      </c>
      <c r="F15" s="6">
        <v>2.5265</v>
      </c>
      <c r="G15" s="6">
        <v>2.0558999999999998</v>
      </c>
      <c r="J15" s="7"/>
    </row>
    <row r="16" spans="1:19" x14ac:dyDescent="0.3">
      <c r="A16" s="1">
        <v>44256</v>
      </c>
      <c r="B16" s="7">
        <v>3244512</v>
      </c>
      <c r="C16" s="7">
        <v>3854872.7547909832</v>
      </c>
      <c r="D16" s="7">
        <v>395222.23696499999</v>
      </c>
      <c r="E16" s="7">
        <v>2044224.4298050001</v>
      </c>
      <c r="F16" s="6">
        <v>2.5265</v>
      </c>
      <c r="G16" s="6">
        <v>2.0558999999999998</v>
      </c>
      <c r="J16" s="7"/>
    </row>
    <row r="17" spans="1:10" x14ac:dyDescent="0.3">
      <c r="A17" s="1">
        <v>44287</v>
      </c>
      <c r="B17" s="7">
        <v>3242749</v>
      </c>
      <c r="C17" s="7">
        <v>3793753.976006066</v>
      </c>
      <c r="D17" s="7">
        <v>513278.68708599999</v>
      </c>
      <c r="E17" s="7">
        <v>2476803.6202799999</v>
      </c>
      <c r="F17" s="6">
        <v>2.5265</v>
      </c>
      <c r="G17" s="6">
        <v>2.0558999999999998</v>
      </c>
      <c r="J17" s="7"/>
    </row>
    <row r="18" spans="1:10" x14ac:dyDescent="0.3">
      <c r="A18" s="1">
        <v>44317</v>
      </c>
      <c r="B18" s="7">
        <v>2305862</v>
      </c>
      <c r="C18" s="7">
        <v>2713706.1993030328</v>
      </c>
      <c r="D18" s="7">
        <v>401864.23976500001</v>
      </c>
      <c r="E18" s="7">
        <v>2306757.2378079998</v>
      </c>
      <c r="F18" s="6">
        <v>2.5265</v>
      </c>
      <c r="G18" s="6">
        <v>2.0558999999999998</v>
      </c>
      <c r="J18" s="7"/>
    </row>
    <row r="19" spans="1:10" x14ac:dyDescent="0.3">
      <c r="A19" s="1">
        <v>44348</v>
      </c>
      <c r="B19" s="7">
        <v>3373377</v>
      </c>
      <c r="C19" s="7">
        <v>3984795.8051475654</v>
      </c>
      <c r="D19" s="7">
        <v>551586.57249499997</v>
      </c>
      <c r="E19" s="7">
        <v>2802712.8642079998</v>
      </c>
      <c r="F19" s="6">
        <v>2.5265</v>
      </c>
      <c r="G19" s="6">
        <v>2.0558999999999998</v>
      </c>
      <c r="J19" s="7"/>
    </row>
    <row r="20" spans="1:10" x14ac:dyDescent="0.3">
      <c r="A20" s="1">
        <v>44378</v>
      </c>
      <c r="B20" s="7">
        <v>2675915</v>
      </c>
      <c r="C20" s="7">
        <v>3306612.0413992829</v>
      </c>
      <c r="D20" s="7">
        <v>732549.36176700005</v>
      </c>
      <c r="E20" s="7">
        <v>3205814.677749</v>
      </c>
      <c r="F20" s="6">
        <v>2.5265</v>
      </c>
      <c r="G20" s="6">
        <v>2.0558999999999998</v>
      </c>
      <c r="J20" s="7"/>
    </row>
    <row r="21" spans="1:10" x14ac:dyDescent="0.3">
      <c r="A21" s="1">
        <v>44409</v>
      </c>
      <c r="B21" s="7">
        <v>2831760</v>
      </c>
      <c r="C21" s="7">
        <v>3181672.7749508847</v>
      </c>
      <c r="D21" s="7">
        <v>801856.58256699995</v>
      </c>
      <c r="E21" s="7">
        <v>3030865.5511710001</v>
      </c>
      <c r="F21" s="6">
        <v>2.5265</v>
      </c>
      <c r="G21" s="6">
        <v>2.0558999999999998</v>
      </c>
      <c r="J21" s="7"/>
    </row>
    <row r="22" spans="1:10" x14ac:dyDescent="0.3">
      <c r="A22" s="1">
        <v>44440</v>
      </c>
      <c r="B22" s="7">
        <v>3310985</v>
      </c>
      <c r="C22" s="7">
        <v>3989851.1456948291</v>
      </c>
      <c r="D22" s="7">
        <v>787058.01561100001</v>
      </c>
      <c r="E22" s="7">
        <v>3188922.911932</v>
      </c>
      <c r="F22" s="6">
        <v>2.5265</v>
      </c>
      <c r="G22" s="6">
        <v>2.0558999999999998</v>
      </c>
      <c r="J22" s="7"/>
    </row>
    <row r="23" spans="1:10" x14ac:dyDescent="0.3">
      <c r="A23" s="1">
        <v>44470</v>
      </c>
      <c r="B23" s="7">
        <v>1331796</v>
      </c>
      <c r="C23" s="7">
        <v>1539212.6574634586</v>
      </c>
      <c r="D23" s="7">
        <v>723068.81883899996</v>
      </c>
      <c r="E23" s="7">
        <v>3340985.3586039999</v>
      </c>
      <c r="F23" s="6">
        <v>2.5265</v>
      </c>
      <c r="G23" s="6">
        <v>2.0558999999999998</v>
      </c>
      <c r="J23" s="7"/>
    </row>
    <row r="24" spans="1:10" x14ac:dyDescent="0.3">
      <c r="A24" s="1">
        <v>44501</v>
      </c>
      <c r="B24" s="7">
        <v>221208</v>
      </c>
      <c r="C24" s="7">
        <v>143084.75065825222</v>
      </c>
      <c r="D24" s="7">
        <v>644855.67468299996</v>
      </c>
      <c r="E24" s="7">
        <v>3009147.942541</v>
      </c>
      <c r="F24" s="6">
        <v>2.5265</v>
      </c>
      <c r="G24" s="6">
        <v>2.0558999999999998</v>
      </c>
      <c r="J24" s="7"/>
    </row>
    <row r="25" spans="1:10" x14ac:dyDescent="0.3">
      <c r="A25" s="1">
        <v>44531</v>
      </c>
      <c r="B25" s="7">
        <v>249699</v>
      </c>
      <c r="C25" s="7">
        <v>148227.09418250088</v>
      </c>
      <c r="D25" s="7">
        <v>717163.08206100005</v>
      </c>
      <c r="E25" s="7">
        <v>3079036.9387940001</v>
      </c>
      <c r="F25" s="6">
        <v>2.5265</v>
      </c>
      <c r="G25" s="6">
        <v>2.0558999999999998</v>
      </c>
      <c r="J25" s="7"/>
    </row>
    <row r="26" spans="1:10" x14ac:dyDescent="0.3">
      <c r="A26" s="1">
        <v>44562</v>
      </c>
      <c r="B26" s="7">
        <v>4242019</v>
      </c>
      <c r="C26" s="7">
        <v>4745222.3541713059</v>
      </c>
      <c r="D26" s="7">
        <v>543925.31351100001</v>
      </c>
      <c r="E26" s="7">
        <v>2545272.1813400001</v>
      </c>
      <c r="F26" s="6">
        <v>2.5265</v>
      </c>
      <c r="G26" s="6">
        <v>2.0558999999999998</v>
      </c>
      <c r="J26" s="7"/>
    </row>
    <row r="27" spans="1:10" x14ac:dyDescent="0.3">
      <c r="A27" s="1">
        <v>44593</v>
      </c>
      <c r="B27" s="7">
        <v>5549300</v>
      </c>
      <c r="C27" s="7">
        <v>6405262.166473099</v>
      </c>
      <c r="D27" s="7">
        <v>495346.41600199998</v>
      </c>
      <c r="E27" s="7">
        <v>2354321.9312010002</v>
      </c>
      <c r="F27" s="6">
        <v>2.5265</v>
      </c>
      <c r="G27" s="6">
        <v>2.0558999999999998</v>
      </c>
      <c r="J27" s="7"/>
    </row>
    <row r="28" spans="1:10" x14ac:dyDescent="0.3">
      <c r="A28" s="1">
        <v>44621</v>
      </c>
      <c r="B28" s="7">
        <v>5685180</v>
      </c>
      <c r="C28" s="7">
        <v>0</v>
      </c>
      <c r="D28" s="7">
        <v>372897.54891499999</v>
      </c>
      <c r="E28" s="7">
        <v>2502610.6409700001</v>
      </c>
      <c r="F28" s="6">
        <v>2.5265</v>
      </c>
      <c r="G28" s="6">
        <v>2.0558999999999998</v>
      </c>
      <c r="J28" s="7"/>
    </row>
    <row r="29" spans="1:10" x14ac:dyDescent="0.3">
      <c r="A29" s="1">
        <v>44652</v>
      </c>
      <c r="B29" s="7">
        <v>7093227</v>
      </c>
      <c r="C29" s="7">
        <v>0</v>
      </c>
      <c r="D29" s="7">
        <v>409946.03282999998</v>
      </c>
      <c r="E29" s="7">
        <v>2891437.6257420001</v>
      </c>
      <c r="F29" s="6">
        <v>2.5265</v>
      </c>
      <c r="G29" s="6">
        <v>2.0558999999999998</v>
      </c>
      <c r="J29" s="7"/>
    </row>
    <row r="30" spans="1:10" x14ac:dyDescent="0.3">
      <c r="A30" s="1">
        <v>44682</v>
      </c>
      <c r="B30" s="7">
        <v>5750003</v>
      </c>
      <c r="C30" s="7">
        <v>0</v>
      </c>
      <c r="D30" s="7">
        <v>592359.83642299997</v>
      </c>
      <c r="E30" s="7">
        <v>2500755.5016640001</v>
      </c>
      <c r="F30" s="6">
        <v>2.5265</v>
      </c>
      <c r="G30" s="6">
        <v>2.0558999999999998</v>
      </c>
      <c r="J30" s="7"/>
    </row>
    <row r="31" spans="1:10" x14ac:dyDescent="0.3">
      <c r="A31" s="1">
        <v>44713</v>
      </c>
      <c r="B31" s="7">
        <v>7524360</v>
      </c>
      <c r="C31" s="7">
        <v>0</v>
      </c>
      <c r="D31" s="7">
        <v>622224.98714099999</v>
      </c>
      <c r="E31" s="7">
        <v>3503315.9773110002</v>
      </c>
      <c r="F31" s="6">
        <v>2.5265</v>
      </c>
      <c r="G31" s="6">
        <v>2.0558999999999998</v>
      </c>
      <c r="J31" s="7"/>
    </row>
    <row r="32" spans="1:10" x14ac:dyDescent="0.3">
      <c r="A32" s="1">
        <v>44743</v>
      </c>
      <c r="B32" s="7">
        <v>6071515</v>
      </c>
      <c r="C32" s="7">
        <v>0</v>
      </c>
      <c r="D32" s="7">
        <v>635553.26541700005</v>
      </c>
      <c r="E32" s="7">
        <v>2639136.472478</v>
      </c>
      <c r="F32" s="6">
        <v>2.5265</v>
      </c>
      <c r="G32" s="6">
        <v>2.0558999999999998</v>
      </c>
      <c r="J32" s="7"/>
    </row>
    <row r="33" spans="1:10" x14ac:dyDescent="0.3">
      <c r="A33" s="1">
        <v>44774</v>
      </c>
      <c r="B33" s="7">
        <v>7612878</v>
      </c>
      <c r="C33" s="7">
        <v>0</v>
      </c>
      <c r="D33" s="7">
        <v>779265.44180300005</v>
      </c>
      <c r="E33" s="7">
        <v>3457443.7586389999</v>
      </c>
      <c r="F33" s="6">
        <v>2.5265</v>
      </c>
      <c r="G33" s="6">
        <v>2.0558999999999998</v>
      </c>
      <c r="J33" s="7"/>
    </row>
    <row r="34" spans="1:10" x14ac:dyDescent="0.3">
      <c r="A34" s="1">
        <v>44805</v>
      </c>
      <c r="B34" s="7">
        <v>6992379</v>
      </c>
      <c r="C34" s="7">
        <v>0</v>
      </c>
      <c r="D34" s="7">
        <v>784661.39887200005</v>
      </c>
      <c r="E34" s="7">
        <v>2986901.3166749999</v>
      </c>
      <c r="F34" s="6">
        <v>2.5265</v>
      </c>
      <c r="G34" s="6">
        <v>2.0558999999999998</v>
      </c>
      <c r="J34" s="7"/>
    </row>
    <row r="35" spans="1:10" x14ac:dyDescent="0.3">
      <c r="A35" s="1">
        <v>44835</v>
      </c>
      <c r="B35" s="7">
        <v>6933623</v>
      </c>
      <c r="C35" s="7">
        <v>0</v>
      </c>
      <c r="D35" s="7">
        <v>704884.98607400001</v>
      </c>
      <c r="E35" s="7">
        <v>3255187.7365390002</v>
      </c>
      <c r="F35" s="6">
        <v>2.5265</v>
      </c>
      <c r="G35" s="6">
        <v>2.0558999999999998</v>
      </c>
      <c r="J35" s="7"/>
    </row>
    <row r="36" spans="1:10" x14ac:dyDescent="0.3">
      <c r="A36" s="1">
        <v>44866</v>
      </c>
      <c r="B36" s="7">
        <v>6591683</v>
      </c>
      <c r="C36" s="7">
        <v>0</v>
      </c>
      <c r="D36" s="7">
        <v>674563.25318</v>
      </c>
      <c r="E36" s="7">
        <v>2994390.7194969999</v>
      </c>
      <c r="F36" s="6">
        <v>2.5265</v>
      </c>
      <c r="G36" s="6">
        <v>2.0558999999999998</v>
      </c>
      <c r="J36" s="7"/>
    </row>
    <row r="37" spans="1:10" x14ac:dyDescent="0.3">
      <c r="A37" s="1">
        <v>44896</v>
      </c>
      <c r="B37" s="7">
        <v>6718856.2337899953</v>
      </c>
      <c r="C37" s="7">
        <v>0</v>
      </c>
      <c r="D37" s="7">
        <v>689465.873058</v>
      </c>
      <c r="E37" s="7">
        <v>3080981.8162509999</v>
      </c>
      <c r="F37" s="6">
        <v>2.5265</v>
      </c>
      <c r="G37" s="6">
        <v>2.0558999999999998</v>
      </c>
      <c r="J37" s="7"/>
    </row>
    <row r="38" spans="1:10" x14ac:dyDescent="0.3">
      <c r="A38" s="1">
        <v>44927</v>
      </c>
      <c r="B38" s="7">
        <v>6475767</v>
      </c>
      <c r="C38" s="7">
        <v>0</v>
      </c>
      <c r="D38" s="7">
        <v>663411.30580700003</v>
      </c>
      <c r="E38" s="7">
        <v>2779096.2513299999</v>
      </c>
      <c r="F38" s="6">
        <v>2.5265</v>
      </c>
      <c r="G38" s="6">
        <v>2.0558999999999998</v>
      </c>
      <c r="J38" s="7"/>
    </row>
    <row r="39" spans="1:10" x14ac:dyDescent="0.3">
      <c r="A39" s="1">
        <v>44958</v>
      </c>
      <c r="B39" s="7">
        <v>6477401</v>
      </c>
      <c r="C39" s="7">
        <v>0</v>
      </c>
      <c r="D39" s="7">
        <v>678654.77178299997</v>
      </c>
      <c r="E39" s="7">
        <v>2672464.4101229999</v>
      </c>
      <c r="F39" s="6">
        <v>2.5265</v>
      </c>
      <c r="G39" s="6">
        <v>2.0558999999999998</v>
      </c>
      <c r="J39" s="7"/>
    </row>
    <row r="40" spans="1:10" x14ac:dyDescent="0.3">
      <c r="A40" s="1">
        <v>44986</v>
      </c>
      <c r="B40" s="7">
        <v>5642128</v>
      </c>
      <c r="C40" s="7">
        <v>0</v>
      </c>
      <c r="D40" s="7">
        <v>558380.32080400002</v>
      </c>
      <c r="E40" s="7">
        <v>2360568.0203089998</v>
      </c>
      <c r="F40" s="6">
        <v>2.5265</v>
      </c>
      <c r="G40" s="6">
        <v>2.0558999999999998</v>
      </c>
      <c r="J40" s="7"/>
    </row>
    <row r="41" spans="1:10" x14ac:dyDescent="0.3">
      <c r="A41" s="1">
        <v>45017</v>
      </c>
      <c r="B41" s="7">
        <v>6636266</v>
      </c>
      <c r="C41" s="7">
        <v>0</v>
      </c>
      <c r="D41" s="7">
        <v>642467.79831900005</v>
      </c>
      <c r="E41" s="7">
        <v>2987104.0332499999</v>
      </c>
      <c r="F41" s="6">
        <v>2.5265</v>
      </c>
      <c r="G41" s="6">
        <v>2.0558999999999998</v>
      </c>
      <c r="J41" s="7"/>
    </row>
    <row r="42" spans="1:10" x14ac:dyDescent="0.3">
      <c r="A42" s="1">
        <v>45047</v>
      </c>
      <c r="B42" s="7">
        <v>7080942</v>
      </c>
      <c r="C42" s="7">
        <v>0</v>
      </c>
      <c r="D42" s="7">
        <v>674619.17982600001</v>
      </c>
      <c r="E42" s="7">
        <v>2938561.6554939998</v>
      </c>
      <c r="F42" s="6">
        <v>2.5265</v>
      </c>
      <c r="G42" s="6">
        <v>2.0558999999999998</v>
      </c>
      <c r="J42" s="7"/>
    </row>
    <row r="43" spans="1:10" x14ac:dyDescent="0.3">
      <c r="A43" s="1">
        <v>45078</v>
      </c>
      <c r="B43" s="7">
        <v>7526458</v>
      </c>
      <c r="C43" s="7">
        <v>0</v>
      </c>
      <c r="D43" s="7">
        <v>803238.83500600001</v>
      </c>
      <c r="E43" s="7">
        <v>3298984.738682</v>
      </c>
      <c r="F43" s="6">
        <v>2.5265</v>
      </c>
      <c r="G43" s="6">
        <v>2.0558999999999998</v>
      </c>
      <c r="J43" s="7"/>
    </row>
    <row r="44" spans="1:10" x14ac:dyDescent="0.3">
      <c r="A44" s="1">
        <v>45108</v>
      </c>
      <c r="B44" s="7">
        <v>8497998</v>
      </c>
      <c r="C44" s="7">
        <v>0</v>
      </c>
      <c r="D44" s="7">
        <v>919544.59446499997</v>
      </c>
      <c r="E44" s="7">
        <v>3236333.4479479999</v>
      </c>
      <c r="F44" s="6">
        <v>2.5265</v>
      </c>
      <c r="G44" s="6">
        <v>2.0558999999999998</v>
      </c>
      <c r="J44" s="7"/>
    </row>
    <row r="45" spans="1:10" x14ac:dyDescent="0.3">
      <c r="A45" s="1">
        <v>45139</v>
      </c>
      <c r="B45" s="7">
        <v>27584401</v>
      </c>
      <c r="C45" s="7">
        <v>0</v>
      </c>
      <c r="D45" s="7">
        <v>910894.99438100006</v>
      </c>
      <c r="E45" s="7">
        <v>3302023.2017899998</v>
      </c>
      <c r="F45" s="6">
        <v>7.5265000000000004</v>
      </c>
      <c r="G45" s="6">
        <v>7.0558999999999994</v>
      </c>
      <c r="J45" s="7"/>
    </row>
    <row r="46" spans="1:10" x14ac:dyDescent="0.3">
      <c r="A46" s="1">
        <v>45170</v>
      </c>
      <c r="B46" s="7">
        <v>26648156</v>
      </c>
      <c r="C46" s="7">
        <v>0</v>
      </c>
      <c r="D46" s="7">
        <v>893254</v>
      </c>
      <c r="E46" s="7">
        <v>3192440</v>
      </c>
      <c r="F46" s="6">
        <v>7.5265000000000004</v>
      </c>
      <c r="G46" s="6">
        <v>7.0558999999999994</v>
      </c>
      <c r="J46" s="7"/>
    </row>
    <row r="47" spans="1:10" x14ac:dyDescent="0.3">
      <c r="A47" s="1">
        <v>45200</v>
      </c>
      <c r="B47" s="7">
        <v>23627020</v>
      </c>
      <c r="C47" s="7">
        <v>0</v>
      </c>
      <c r="D47" s="7">
        <v>748503.79150199995</v>
      </c>
      <c r="E47" s="7">
        <v>2972888.1766900001</v>
      </c>
      <c r="F47" s="6">
        <v>7.5265000000000004</v>
      </c>
      <c r="G47" s="6">
        <v>7.0558999999999994</v>
      </c>
      <c r="J47" s="7"/>
    </row>
    <row r="48" spans="1:10" x14ac:dyDescent="0.3">
      <c r="A48" s="1">
        <v>45231</v>
      </c>
      <c r="B48" s="7">
        <v>24049130</v>
      </c>
      <c r="C48" s="7">
        <v>0</v>
      </c>
      <c r="D48" s="7">
        <v>758490.05112399999</v>
      </c>
      <c r="E48" s="7">
        <v>2907387.6289809998</v>
      </c>
      <c r="F48" s="6">
        <v>7.5265000000000004</v>
      </c>
      <c r="G48" s="6">
        <v>7.0558999999999994</v>
      </c>
      <c r="J48" s="7"/>
    </row>
    <row r="49" spans="1:10" x14ac:dyDescent="0.3">
      <c r="A49" s="1">
        <v>45261</v>
      </c>
      <c r="B49" s="7">
        <v>22589300</v>
      </c>
      <c r="C49" s="7">
        <v>0</v>
      </c>
      <c r="D49" s="7">
        <v>740698.53512300004</v>
      </c>
      <c r="E49" s="7">
        <v>2781753.8370289998</v>
      </c>
      <c r="F49" s="6">
        <v>7.5265000000000004</v>
      </c>
      <c r="G49" s="6">
        <v>7.0558999999999994</v>
      </c>
      <c r="J49" s="7"/>
    </row>
    <row r="50" spans="1:10" x14ac:dyDescent="0.3">
      <c r="A50" s="1">
        <v>45292</v>
      </c>
      <c r="B50" s="7">
        <v>25407502.966529999</v>
      </c>
      <c r="C50" s="7">
        <v>0</v>
      </c>
      <c r="D50" s="7">
        <v>647935.24041700002</v>
      </c>
      <c r="E50" s="7">
        <v>2796510.1359450002</v>
      </c>
      <c r="F50" s="6">
        <v>9.4540000000000006</v>
      </c>
      <c r="G50" s="6">
        <v>8.8628999999999998</v>
      </c>
      <c r="J50" s="7"/>
    </row>
    <row r="51" spans="1:10" x14ac:dyDescent="0.3">
      <c r="A51" s="1">
        <v>45323</v>
      </c>
      <c r="B51" s="7">
        <v>28661158.553360004</v>
      </c>
      <c r="C51" s="7">
        <v>0</v>
      </c>
      <c r="D51" s="7">
        <v>655262.15762199997</v>
      </c>
      <c r="E51" s="7">
        <v>2805807.857994</v>
      </c>
      <c r="F51" s="6">
        <v>9.4540000000000006</v>
      </c>
      <c r="G51" s="6">
        <v>8.8628999999999998</v>
      </c>
      <c r="J51" s="7"/>
    </row>
    <row r="52" spans="1:10" x14ac:dyDescent="0.3">
      <c r="A52" s="1">
        <v>45352</v>
      </c>
      <c r="B52" s="7">
        <v>26010205.725819997</v>
      </c>
      <c r="C52" s="7">
        <v>0</v>
      </c>
      <c r="D52" s="7">
        <v>570034.69858800003</v>
      </c>
      <c r="E52" s="7">
        <v>2618379.6562649999</v>
      </c>
      <c r="F52" s="6">
        <v>9.4540000000000006</v>
      </c>
      <c r="G52" s="6">
        <v>8.8628999999999998</v>
      </c>
      <c r="J52" s="7"/>
    </row>
    <row r="53" spans="1:10" x14ac:dyDescent="0.3">
      <c r="A53" s="1">
        <v>45383</v>
      </c>
      <c r="B53" s="7">
        <v>28000073.781000003</v>
      </c>
      <c r="C53" s="7">
        <v>0</v>
      </c>
      <c r="D53" s="7">
        <v>681422.93605999998</v>
      </c>
      <c r="E53" s="7">
        <v>2509171.38521</v>
      </c>
      <c r="F53" s="6">
        <v>9.4540000000000006</v>
      </c>
      <c r="G53" s="6">
        <v>8.8628999999999998</v>
      </c>
      <c r="J53" s="7"/>
    </row>
    <row r="54" spans="1:10" x14ac:dyDescent="0.3">
      <c r="A54" s="1">
        <v>45413</v>
      </c>
      <c r="B54" s="7">
        <v>27850136.131000012</v>
      </c>
      <c r="C54" s="7">
        <v>0</v>
      </c>
      <c r="D54" s="7">
        <v>739844.15080499998</v>
      </c>
      <c r="E54" s="7">
        <v>2733546.7241679998</v>
      </c>
      <c r="F54" s="6">
        <v>9.4540000000000006</v>
      </c>
      <c r="G54" s="6">
        <v>8.8628999999999998</v>
      </c>
      <c r="J54" s="7"/>
    </row>
    <row r="55" spans="1:10" x14ac:dyDescent="0.3">
      <c r="A55" s="1">
        <v>45444</v>
      </c>
      <c r="B55" s="7">
        <v>33908548.921929985</v>
      </c>
      <c r="C55" s="7">
        <v>0</v>
      </c>
      <c r="D55" s="7">
        <v>932410.10042799998</v>
      </c>
      <c r="E55" s="7">
        <v>3268820.2477779998</v>
      </c>
      <c r="F55" s="6">
        <v>9.4540000000000006</v>
      </c>
      <c r="G55" s="6">
        <v>8.8628999999999998</v>
      </c>
      <c r="J55" s="7"/>
    </row>
    <row r="56" spans="1:10" x14ac:dyDescent="0.3">
      <c r="A56" s="1">
        <v>45474</v>
      </c>
      <c r="B56" s="7">
        <v>34430541.615660012</v>
      </c>
      <c r="C56" s="7">
        <v>0</v>
      </c>
      <c r="D56" s="7">
        <v>902574.75573400001</v>
      </c>
      <c r="E56" s="7">
        <v>2828156.534792</v>
      </c>
      <c r="F56" s="6">
        <v>11.296799999999999</v>
      </c>
      <c r="G56" s="6">
        <v>10.5905</v>
      </c>
      <c r="J56" s="7"/>
    </row>
    <row r="57" spans="1:10" x14ac:dyDescent="0.3">
      <c r="A57" s="1">
        <v>45505</v>
      </c>
      <c r="B57" s="7">
        <v>39262082.477499992</v>
      </c>
      <c r="C57" s="7">
        <v>0</v>
      </c>
      <c r="D57" s="7">
        <v>1027739.043967</v>
      </c>
      <c r="E57" s="7">
        <v>3088912.5402850001</v>
      </c>
      <c r="F57" s="6">
        <v>11.296799999999999</v>
      </c>
      <c r="G57" s="6">
        <v>10.5905</v>
      </c>
      <c r="J57" s="7"/>
    </row>
    <row r="58" spans="1:10" x14ac:dyDescent="0.3">
      <c r="A58" s="1">
        <v>45536</v>
      </c>
      <c r="B58" s="7">
        <v>39476915.100439966</v>
      </c>
      <c r="C58" s="7">
        <v>0</v>
      </c>
      <c r="D58" s="7">
        <v>970845.73869599996</v>
      </c>
      <c r="E58" s="7">
        <v>3085346.1243540002</v>
      </c>
      <c r="F58" s="6">
        <v>11.296799999999999</v>
      </c>
      <c r="G58" s="6">
        <v>10.5905</v>
      </c>
      <c r="J58" s="7"/>
    </row>
    <row r="59" spans="1:10" x14ac:dyDescent="0.3">
      <c r="A59" s="1">
        <v>45566</v>
      </c>
      <c r="B59" s="7">
        <v>39927031.558570027</v>
      </c>
      <c r="C59" s="7">
        <v>0</v>
      </c>
      <c r="D59" s="7">
        <v>902257.73934900004</v>
      </c>
      <c r="E59" s="7">
        <v>3142222.64047</v>
      </c>
      <c r="F59" s="6">
        <v>11.296799999999999</v>
      </c>
      <c r="G59" s="6">
        <v>10.5905</v>
      </c>
      <c r="J59" s="7"/>
    </row>
    <row r="60" spans="1:10" x14ac:dyDescent="0.3">
      <c r="A60" s="1">
        <v>45597</v>
      </c>
      <c r="B60" s="7">
        <v>38311622.393909991</v>
      </c>
      <c r="C60" s="7">
        <v>0</v>
      </c>
      <c r="D60" s="7">
        <v>829156</v>
      </c>
      <c r="E60" s="7">
        <v>3158698</v>
      </c>
      <c r="F60" s="6">
        <v>11.296799999999999</v>
      </c>
      <c r="G60" s="6">
        <v>10.5905</v>
      </c>
      <c r="J60" s="7"/>
    </row>
    <row r="61" spans="1:10" x14ac:dyDescent="0.3">
      <c r="A61" s="1">
        <v>45627</v>
      </c>
      <c r="B61" s="7">
        <v>36801260.313830018</v>
      </c>
      <c r="C61" s="7">
        <v>0</v>
      </c>
      <c r="D61" s="7">
        <v>871773.06185099995</v>
      </c>
      <c r="E61" s="7">
        <v>2784851.7272470002</v>
      </c>
      <c r="F61" s="6">
        <v>11.296799999999999</v>
      </c>
      <c r="G61" s="6">
        <v>10.5905</v>
      </c>
      <c r="J61" s="7"/>
    </row>
    <row r="62" spans="1:10" x14ac:dyDescent="0.3">
      <c r="A62" s="1">
        <v>45658</v>
      </c>
      <c r="B62" s="7">
        <v>39099081.486670002</v>
      </c>
      <c r="C62" s="7">
        <v>0</v>
      </c>
      <c r="D62" s="7">
        <v>775403.11693699996</v>
      </c>
      <c r="E62" s="7">
        <v>2918498.6648840001</v>
      </c>
      <c r="F62" s="6">
        <v>11.9819</v>
      </c>
      <c r="G62" s="6">
        <v>11.232699999999999</v>
      </c>
      <c r="J62" s="7"/>
    </row>
    <row r="63" spans="1:10" x14ac:dyDescent="0.3">
      <c r="A63" s="1">
        <v>45689</v>
      </c>
      <c r="B63" s="7">
        <v>33143996.798529994</v>
      </c>
      <c r="C63" s="7">
        <v>0</v>
      </c>
      <c r="D63" s="7">
        <v>800908.97657599999</v>
      </c>
      <c r="E63" s="7">
        <v>2343369.5358549999</v>
      </c>
      <c r="F63" s="6">
        <v>11.9819</v>
      </c>
      <c r="G63" s="6">
        <v>11.232699999999999</v>
      </c>
      <c r="J63" s="7"/>
    </row>
    <row r="64" spans="1:10" x14ac:dyDescent="0.3">
      <c r="A64" s="1">
        <v>45717</v>
      </c>
      <c r="B64" s="7">
        <v>32512102.156990007</v>
      </c>
      <c r="C64" s="7">
        <v>0</v>
      </c>
      <c r="D64" s="7">
        <v>770714.95681500004</v>
      </c>
      <c r="E64" s="7">
        <v>2271829.7406040002</v>
      </c>
      <c r="F64" s="6">
        <v>11.9819</v>
      </c>
      <c r="G64" s="6">
        <v>11.232699999999999</v>
      </c>
      <c r="J64" s="7"/>
    </row>
    <row r="65" spans="1:10" x14ac:dyDescent="0.3">
      <c r="A65" s="1">
        <v>45748</v>
      </c>
      <c r="B65" s="7">
        <v>36448247.748099998</v>
      </c>
      <c r="C65" s="7">
        <v>0</v>
      </c>
      <c r="D65" s="7">
        <v>943407.257323</v>
      </c>
      <c r="E65" s="7">
        <v>2719122.2952069999</v>
      </c>
      <c r="F65" s="6">
        <v>11.9819</v>
      </c>
      <c r="G65" s="6">
        <v>11.232699999999999</v>
      </c>
      <c r="J65" s="7"/>
    </row>
    <row r="66" spans="1:10" x14ac:dyDescent="0.3">
      <c r="A66" s="1">
        <v>45778</v>
      </c>
      <c r="B66" s="7">
        <v>41423017.819629997</v>
      </c>
      <c r="C66" s="7">
        <v>0</v>
      </c>
      <c r="D66" s="7">
        <v>949173.71393700002</v>
      </c>
      <c r="E66" s="7">
        <v>3324431.5971670002</v>
      </c>
      <c r="F66" s="6">
        <v>11.9819</v>
      </c>
      <c r="G66" s="6">
        <v>11.232699999999999</v>
      </c>
      <c r="J66" s="7"/>
    </row>
    <row r="67" spans="1:10" x14ac:dyDescent="0.3">
      <c r="A67" s="1">
        <v>45809</v>
      </c>
      <c r="B67" s="7">
        <v>43254609.776679993</v>
      </c>
      <c r="C67" s="7">
        <v>0</v>
      </c>
      <c r="D67" s="7">
        <v>1110837.2752090001</v>
      </c>
      <c r="E67" s="7">
        <v>3156435.923924</v>
      </c>
      <c r="F67" s="6">
        <v>11.9819</v>
      </c>
      <c r="G67" s="6">
        <v>11.232699999999999</v>
      </c>
      <c r="J67" s="7"/>
    </row>
    <row r="68" spans="1:10" x14ac:dyDescent="0.3">
      <c r="A68" s="1">
        <v>45839</v>
      </c>
      <c r="B68" s="7">
        <v>47524725.446150005</v>
      </c>
      <c r="C68" s="7">
        <v>0</v>
      </c>
      <c r="D68" s="7">
        <v>1013631.79253</v>
      </c>
      <c r="E68" s="7">
        <v>3249743.057143</v>
      </c>
      <c r="F68" s="6">
        <v>13.8637</v>
      </c>
      <c r="G68" s="6">
        <v>12.9968</v>
      </c>
      <c r="J68" s="7"/>
    </row>
    <row r="69" spans="1:10" x14ac:dyDescent="0.3">
      <c r="A69" s="1">
        <v>45870</v>
      </c>
      <c r="B69" s="7">
        <v>50677921.202899992</v>
      </c>
      <c r="C69" s="7">
        <v>0</v>
      </c>
      <c r="D69" s="7">
        <v>1175156.7632559999</v>
      </c>
      <c r="E69" s="7">
        <v>3347990.775287</v>
      </c>
      <c r="F69" s="6">
        <v>13.8637</v>
      </c>
      <c r="G69" s="6">
        <v>12.9968</v>
      </c>
      <c r="J69" s="7"/>
    </row>
    <row r="70" spans="1:10" x14ac:dyDescent="0.3">
      <c r="A70" s="1">
        <v>45901</v>
      </c>
      <c r="B70" s="7">
        <v>52654044.44137001</v>
      </c>
      <c r="C70" s="7">
        <v>0</v>
      </c>
      <c r="D70" s="7">
        <v>1196458.313628</v>
      </c>
      <c r="E70" s="7">
        <v>3486812.9944159999</v>
      </c>
      <c r="F70" s="6">
        <v>13.8637</v>
      </c>
      <c r="G70" s="6">
        <v>12.9968</v>
      </c>
      <c r="J70" s="7"/>
    </row>
    <row r="71" spans="1:10" x14ac:dyDescent="0.3">
      <c r="A71" s="1">
        <v>45931</v>
      </c>
      <c r="B71" s="7">
        <v>48838029.864769995</v>
      </c>
      <c r="C71" s="7">
        <v>0</v>
      </c>
      <c r="D71" s="7">
        <v>982846.29960699996</v>
      </c>
      <c r="E71" s="7">
        <v>3300337.9812019998</v>
      </c>
      <c r="F71" s="6">
        <v>13.8637</v>
      </c>
      <c r="G71" s="6">
        <v>12.9968</v>
      </c>
      <c r="J71" s="7"/>
    </row>
    <row r="72" spans="1:10" x14ac:dyDescent="0.3">
      <c r="A72" s="1">
        <v>45962</v>
      </c>
      <c r="B72" s="7">
        <v>52725184.294019997</v>
      </c>
      <c r="C72" s="7">
        <v>0</v>
      </c>
      <c r="D72" s="7">
        <v>1051468.4775330001</v>
      </c>
      <c r="E72" s="7">
        <v>3480372.212421</v>
      </c>
      <c r="F72" s="6">
        <v>13.8637</v>
      </c>
      <c r="G72" s="6">
        <v>12.9968</v>
      </c>
      <c r="J72" s="7"/>
    </row>
    <row r="73" spans="1:10" x14ac:dyDescent="0.3">
      <c r="A73" s="1">
        <v>45992</v>
      </c>
      <c r="B73" s="7">
        <v>43902146.172309995</v>
      </c>
      <c r="C73" s="7">
        <v>0</v>
      </c>
      <c r="D73" s="7">
        <v>814233.12828499998</v>
      </c>
      <c r="E73" s="7">
        <v>2960438.8554099998</v>
      </c>
      <c r="F73" s="6">
        <v>13.8637</v>
      </c>
      <c r="G73" s="6">
        <v>12.9968</v>
      </c>
      <c r="J73" s="7"/>
    </row>
    <row r="74" spans="1:10" x14ac:dyDescent="0.3">
      <c r="A74" s="1">
        <v>46023</v>
      </c>
      <c r="B74" s="7">
        <v>49395017.110299997</v>
      </c>
      <c r="C74" s="7">
        <v>0</v>
      </c>
      <c r="D74" s="7">
        <v>990495.87094099994</v>
      </c>
      <c r="E74" s="7">
        <v>3070372.3177069998</v>
      </c>
      <c r="F74" s="6">
        <v>14.827199999999999</v>
      </c>
      <c r="G74" s="6">
        <v>13.9</v>
      </c>
      <c r="J74" s="7"/>
    </row>
    <row r="75" spans="1:10" x14ac:dyDescent="0.3">
      <c r="A75" s="1">
        <v>46054</v>
      </c>
      <c r="B75" s="7">
        <v>44333976.106500007</v>
      </c>
      <c r="C75" s="7">
        <v>0</v>
      </c>
      <c r="D75" s="7">
        <v>815862.11609899998</v>
      </c>
      <c r="E75" s="7">
        <v>2594838.3766259998</v>
      </c>
      <c r="F75" s="6">
        <v>14.827199999999999</v>
      </c>
      <c r="G75" s="6">
        <v>13.9</v>
      </c>
      <c r="J75" s="7"/>
    </row>
    <row r="76" spans="1:10" x14ac:dyDescent="0.3">
      <c r="A76" s="1">
        <v>46082</v>
      </c>
      <c r="B76" s="7">
        <v>36272160.579400003</v>
      </c>
      <c r="C76" s="7">
        <v>10789367.780587424</v>
      </c>
      <c r="D76" s="7">
        <v>911077.32326099998</v>
      </c>
      <c r="E76" s="7">
        <v>2981069.1066020001</v>
      </c>
      <c r="F76" s="6">
        <v>14.827199999999999</v>
      </c>
      <c r="G76" s="6">
        <v>13.9</v>
      </c>
      <c r="J76" s="7"/>
    </row>
    <row r="77" spans="1:10" x14ac:dyDescent="0.3">
      <c r="A77" s="1">
        <v>46113</v>
      </c>
      <c r="B77" s="7">
        <v>6859124.845269978</v>
      </c>
      <c r="C77" s="7">
        <v>42926807.970122278</v>
      </c>
      <c r="D77" s="7">
        <v>964562.13402400003</v>
      </c>
      <c r="E77" s="7">
        <v>2915698.65594</v>
      </c>
      <c r="F77" s="6">
        <v>14.827199999999999</v>
      </c>
      <c r="G77" s="6">
        <v>13.9</v>
      </c>
      <c r="J77" s="7"/>
    </row>
    <row r="78" spans="1:10" x14ac:dyDescent="0.3">
      <c r="D78">
        <v>889515.17312599998</v>
      </c>
      <c r="E78">
        <v>2817752.197987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T7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71" sqref="E71"/>
    </sheetView>
  </sheetViews>
  <sheetFormatPr defaultRowHeight="14.4" x14ac:dyDescent="0.3"/>
  <cols>
    <col min="2" max="2" width="22" bestFit="1" customWidth="1"/>
    <col min="3" max="3" width="26" style="3" customWidth="1"/>
    <col min="4" max="4" width="19.109375" bestFit="1" customWidth="1"/>
    <col min="5" max="5" width="25.44140625" customWidth="1"/>
    <col min="6" max="6" width="25.44140625" style="3" customWidth="1"/>
    <col min="7" max="7" width="24.109375" bestFit="1" customWidth="1"/>
    <col min="8" max="8" width="19.109375" bestFit="1" customWidth="1"/>
    <col min="9" max="9" width="17.44140625" bestFit="1" customWidth="1"/>
  </cols>
  <sheetData>
    <row r="1" spans="1:20" ht="27" customHeight="1" x14ac:dyDescent="0.3">
      <c r="A1" s="12" t="s">
        <v>0</v>
      </c>
      <c r="B1" s="12" t="s">
        <v>16</v>
      </c>
      <c r="C1" s="18" t="s">
        <v>69</v>
      </c>
      <c r="D1" s="12" t="s">
        <v>22</v>
      </c>
      <c r="E1" s="12" t="s">
        <v>23</v>
      </c>
      <c r="F1" s="18" t="s">
        <v>70</v>
      </c>
      <c r="G1" s="18" t="s">
        <v>72</v>
      </c>
      <c r="H1" s="2"/>
      <c r="I1" s="2"/>
    </row>
    <row r="2" spans="1:20" x14ac:dyDescent="0.3">
      <c r="A2" s="1">
        <v>43831</v>
      </c>
      <c r="B2" s="7">
        <v>4967756</v>
      </c>
      <c r="C2" s="20">
        <v>15.455180623408804</v>
      </c>
      <c r="D2" s="7">
        <v>473866.13799999998</v>
      </c>
      <c r="E2" s="6">
        <v>67</v>
      </c>
      <c r="F2" s="21">
        <v>0.45390000000000003</v>
      </c>
      <c r="G2" s="21">
        <v>7.798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">
      <c r="A3" s="1">
        <v>43862</v>
      </c>
      <c r="B3" s="7">
        <v>3715180</v>
      </c>
      <c r="C3" s="20">
        <v>15.482789654136564</v>
      </c>
      <c r="D3" s="7">
        <v>340021.65100000001</v>
      </c>
      <c r="E3" s="6">
        <v>67</v>
      </c>
      <c r="F3" s="21">
        <v>0.45390000000000003</v>
      </c>
      <c r="G3" s="21">
        <v>7.798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3">
      <c r="A4" s="1">
        <v>43891</v>
      </c>
      <c r="B4" s="7">
        <v>4447660</v>
      </c>
      <c r="C4" s="20">
        <v>14.740311398877013</v>
      </c>
      <c r="D4" s="7">
        <v>403846.74300000002</v>
      </c>
      <c r="E4" s="6">
        <v>67</v>
      </c>
      <c r="F4" s="21">
        <v>0.45390000000000003</v>
      </c>
      <c r="G4" s="21">
        <v>7.798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x14ac:dyDescent="0.3">
      <c r="A5" s="1">
        <v>43922</v>
      </c>
      <c r="B5" s="7">
        <v>5315763</v>
      </c>
      <c r="C5" s="20">
        <v>14.69137663995731</v>
      </c>
      <c r="D5" s="7">
        <v>512171.12599999999</v>
      </c>
      <c r="E5" s="6">
        <v>67</v>
      </c>
      <c r="F5" s="21">
        <v>0.45390000000000003</v>
      </c>
      <c r="G5" s="21">
        <v>7.798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3">
      <c r="A6" s="1">
        <v>43952</v>
      </c>
      <c r="B6" s="7">
        <v>3701996</v>
      </c>
      <c r="C6" s="20">
        <v>14.649937248094774</v>
      </c>
      <c r="D6" s="7">
        <v>362128.40700000001</v>
      </c>
      <c r="E6" s="6">
        <v>67</v>
      </c>
      <c r="F6" s="21">
        <v>0.45390000000000003</v>
      </c>
      <c r="G6" s="21">
        <v>7.798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3">
      <c r="A7" s="1">
        <v>43983</v>
      </c>
      <c r="B7" s="7">
        <v>4313994</v>
      </c>
      <c r="C7" s="20">
        <v>14.168821809383699</v>
      </c>
      <c r="D7" s="7">
        <v>459236.54</v>
      </c>
      <c r="E7" s="6">
        <v>67</v>
      </c>
      <c r="F7" s="21">
        <v>0.45390000000000003</v>
      </c>
      <c r="G7" s="21">
        <v>9.1379999999999999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3">
      <c r="A8" s="1">
        <v>44013</v>
      </c>
      <c r="B8" s="7">
        <v>7099582</v>
      </c>
      <c r="C8" s="20">
        <v>15.531395410238954</v>
      </c>
      <c r="D8" s="7">
        <v>622942.80200000003</v>
      </c>
      <c r="E8" s="6">
        <v>67</v>
      </c>
      <c r="F8" s="21">
        <v>0.45390000000000003</v>
      </c>
      <c r="G8" s="21">
        <v>9.1379999999999999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x14ac:dyDescent="0.3">
      <c r="A9" s="1">
        <v>44044</v>
      </c>
      <c r="B9" s="7">
        <v>7690756</v>
      </c>
      <c r="C9" s="20">
        <v>15.47464240486164</v>
      </c>
      <c r="D9" s="7">
        <v>694342.13399999996</v>
      </c>
      <c r="E9" s="6">
        <v>67</v>
      </c>
      <c r="F9" s="21">
        <v>0.48509999999999998</v>
      </c>
      <c r="G9" s="21">
        <v>9.1379999999999999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20" x14ac:dyDescent="0.3">
      <c r="A10" s="1">
        <v>44075</v>
      </c>
      <c r="B10" s="7">
        <v>4802929</v>
      </c>
      <c r="C10" s="20">
        <v>15.739566205283582</v>
      </c>
      <c r="D10" s="7">
        <v>430476.728</v>
      </c>
      <c r="E10" s="6">
        <v>67</v>
      </c>
      <c r="F10" s="21">
        <v>0.48509999999999998</v>
      </c>
      <c r="G10" s="21">
        <v>9.1379999999999999</v>
      </c>
    </row>
    <row r="11" spans="1:20" x14ac:dyDescent="0.3">
      <c r="A11" s="1">
        <v>44105</v>
      </c>
      <c r="B11" s="7">
        <v>5199251</v>
      </c>
      <c r="C11" s="20">
        <v>15.6528155726697</v>
      </c>
      <c r="D11" s="7">
        <v>467590.99400000001</v>
      </c>
      <c r="E11" s="6">
        <v>67</v>
      </c>
      <c r="F11" s="21">
        <v>0.48509999999999998</v>
      </c>
      <c r="G11" s="21">
        <v>9.1379999999999999</v>
      </c>
    </row>
    <row r="12" spans="1:20" x14ac:dyDescent="0.3">
      <c r="A12" s="1">
        <v>44136</v>
      </c>
      <c r="B12" s="7">
        <v>5212181</v>
      </c>
      <c r="C12" s="20">
        <v>15.797209042166418</v>
      </c>
      <c r="D12" s="7">
        <v>458315.84100000001</v>
      </c>
      <c r="E12" s="6">
        <v>67</v>
      </c>
      <c r="F12" s="21">
        <v>0.48509999999999998</v>
      </c>
      <c r="G12" s="21">
        <v>9.1379999999999999</v>
      </c>
    </row>
    <row r="13" spans="1:20" x14ac:dyDescent="0.3">
      <c r="A13" s="1">
        <v>44166</v>
      </c>
      <c r="B13" s="7">
        <v>5334384</v>
      </c>
      <c r="C13" s="20">
        <v>15.72703156166806</v>
      </c>
      <c r="D13" s="7">
        <v>474203.85600000003</v>
      </c>
      <c r="E13" s="6">
        <v>67</v>
      </c>
      <c r="F13" s="21">
        <v>0.48509999999999998</v>
      </c>
      <c r="G13" s="21">
        <v>9.1379999999999999</v>
      </c>
    </row>
    <row r="14" spans="1:20" x14ac:dyDescent="0.3">
      <c r="A14" s="1">
        <v>44197</v>
      </c>
      <c r="B14" s="7">
        <v>5349174</v>
      </c>
      <c r="C14" s="20">
        <v>15.571267919915075</v>
      </c>
      <c r="D14" s="7">
        <v>474179.61300000001</v>
      </c>
      <c r="E14" s="6">
        <v>63</v>
      </c>
      <c r="F14" s="21">
        <v>0.48509999999999998</v>
      </c>
      <c r="G14" s="21">
        <v>9.1379999999999999</v>
      </c>
    </row>
    <row r="15" spans="1:20" x14ac:dyDescent="0.3">
      <c r="A15" s="1">
        <v>44228</v>
      </c>
      <c r="B15" s="7">
        <v>4111611</v>
      </c>
      <c r="C15" s="20">
        <v>16.213191786116667</v>
      </c>
      <c r="D15" s="7">
        <v>390346.94099999999</v>
      </c>
      <c r="E15" s="6">
        <v>63</v>
      </c>
      <c r="F15" s="21">
        <v>0.48509999999999998</v>
      </c>
      <c r="G15" s="21">
        <v>9.1379999999999999</v>
      </c>
    </row>
    <row r="16" spans="1:20" x14ac:dyDescent="0.3">
      <c r="A16" s="1">
        <v>44256</v>
      </c>
      <c r="B16" s="7">
        <v>4141423</v>
      </c>
      <c r="C16" s="20">
        <v>16.209814407593175</v>
      </c>
      <c r="D16" s="7">
        <v>377563.64399999997</v>
      </c>
      <c r="E16" s="6">
        <v>63</v>
      </c>
      <c r="F16" s="21">
        <v>0.48509999999999998</v>
      </c>
      <c r="G16" s="21">
        <v>9.1379999999999999</v>
      </c>
    </row>
    <row r="17" spans="1:7" x14ac:dyDescent="0.3">
      <c r="A17" s="1">
        <v>44287</v>
      </c>
      <c r="B17" s="7">
        <v>5399978</v>
      </c>
      <c r="C17" s="20">
        <v>16.175587803212064</v>
      </c>
      <c r="D17" s="7">
        <v>492259.74900000001</v>
      </c>
      <c r="E17" s="6">
        <v>63</v>
      </c>
      <c r="F17" s="21">
        <v>0.48509999999999998</v>
      </c>
      <c r="G17" s="21">
        <v>9.1379999999999999</v>
      </c>
    </row>
    <row r="18" spans="1:7" x14ac:dyDescent="0.3">
      <c r="A18" s="1">
        <v>44317</v>
      </c>
      <c r="B18" s="7">
        <v>4428453</v>
      </c>
      <c r="C18" s="20">
        <v>16.208417205163492</v>
      </c>
      <c r="D18" s="7">
        <v>415977.15399999998</v>
      </c>
      <c r="E18" s="6">
        <v>63</v>
      </c>
      <c r="F18" s="21">
        <v>0.48509999999999998</v>
      </c>
      <c r="G18" s="21">
        <v>9.1379999999999999</v>
      </c>
    </row>
    <row r="19" spans="1:7" x14ac:dyDescent="0.3">
      <c r="A19" s="1">
        <v>44348</v>
      </c>
      <c r="B19" s="7">
        <v>5319966</v>
      </c>
      <c r="C19" s="20">
        <v>16.239474342701271</v>
      </c>
      <c r="D19" s="7">
        <v>492121.09</v>
      </c>
      <c r="E19" s="6">
        <v>63</v>
      </c>
      <c r="F19" s="21">
        <v>0.48509999999999998</v>
      </c>
      <c r="G19" s="21">
        <v>9.1379999999999999</v>
      </c>
    </row>
    <row r="20" spans="1:7" x14ac:dyDescent="0.3">
      <c r="A20" s="1">
        <v>44378</v>
      </c>
      <c r="B20" s="7">
        <v>7060195</v>
      </c>
      <c r="C20" s="20">
        <v>16.220016793531432</v>
      </c>
      <c r="D20" s="7">
        <v>652227.69999999995</v>
      </c>
      <c r="E20" s="6">
        <v>63</v>
      </c>
      <c r="F20" s="21">
        <v>0.48509999999999998</v>
      </c>
      <c r="G20" s="21">
        <v>9.1379999999999999</v>
      </c>
    </row>
    <row r="21" spans="1:7" x14ac:dyDescent="0.3">
      <c r="A21" s="1">
        <v>44409</v>
      </c>
      <c r="B21" s="7">
        <v>6556739</v>
      </c>
      <c r="C21" s="20">
        <v>16.24609120021508</v>
      </c>
      <c r="D21" s="7">
        <v>606624.14</v>
      </c>
      <c r="E21" s="6">
        <v>63</v>
      </c>
      <c r="F21" s="21">
        <v>0.48509999999999998</v>
      </c>
      <c r="G21" s="21">
        <v>9.1379999999999999</v>
      </c>
    </row>
    <row r="22" spans="1:7" x14ac:dyDescent="0.3">
      <c r="A22" s="1">
        <v>44440</v>
      </c>
      <c r="B22" s="7">
        <v>6294915</v>
      </c>
      <c r="C22" s="20">
        <v>16.294706919008572</v>
      </c>
      <c r="D22" s="7">
        <v>580063.87100000004</v>
      </c>
      <c r="E22" s="6">
        <v>63</v>
      </c>
      <c r="F22" s="21">
        <v>0.48509999999999998</v>
      </c>
      <c r="G22" s="21">
        <v>9.1379999999999999</v>
      </c>
    </row>
    <row r="23" spans="1:7" x14ac:dyDescent="0.3">
      <c r="A23" s="1">
        <v>44470</v>
      </c>
      <c r="B23" s="7">
        <v>6235869</v>
      </c>
      <c r="C23" s="20">
        <v>16.27868617749159</v>
      </c>
      <c r="D23" s="7">
        <v>571035.13500000001</v>
      </c>
      <c r="E23" s="6">
        <v>63</v>
      </c>
      <c r="F23" s="21">
        <v>0.48509999999999998</v>
      </c>
      <c r="G23" s="21">
        <v>9.1379999999999999</v>
      </c>
    </row>
    <row r="24" spans="1:7" x14ac:dyDescent="0.3">
      <c r="A24" s="1">
        <v>44501</v>
      </c>
      <c r="B24" s="7">
        <v>6801242</v>
      </c>
      <c r="C24" s="20">
        <v>16.423920536687461</v>
      </c>
      <c r="D24" s="7">
        <v>589033.78500000003</v>
      </c>
      <c r="E24" s="6">
        <v>63</v>
      </c>
      <c r="F24" s="21">
        <v>0.48509999999999998</v>
      </c>
      <c r="G24" s="21">
        <v>9.1379999999999999</v>
      </c>
    </row>
    <row r="25" spans="1:7" x14ac:dyDescent="0.3">
      <c r="A25" s="1">
        <v>44531</v>
      </c>
      <c r="B25" s="7">
        <v>5920198</v>
      </c>
      <c r="C25" s="20">
        <v>16.92899811272984</v>
      </c>
      <c r="D25" s="7">
        <v>519471.49</v>
      </c>
      <c r="E25" s="6">
        <v>63</v>
      </c>
      <c r="F25" s="21">
        <v>0.48509999999999998</v>
      </c>
      <c r="G25" s="21">
        <v>9.1379999999999999</v>
      </c>
    </row>
    <row r="26" spans="1:7" x14ac:dyDescent="0.3">
      <c r="A26" s="1">
        <v>44562</v>
      </c>
      <c r="B26" s="7">
        <v>9169287</v>
      </c>
      <c r="C26" s="20">
        <v>17.05910764231524</v>
      </c>
      <c r="D26" s="7">
        <v>798244.44299999997</v>
      </c>
      <c r="E26" s="6">
        <v>63</v>
      </c>
      <c r="F26" s="21">
        <v>0.48509999999999998</v>
      </c>
      <c r="G26" s="21">
        <v>11.262</v>
      </c>
    </row>
    <row r="27" spans="1:7" x14ac:dyDescent="0.3">
      <c r="A27" s="1">
        <v>44593</v>
      </c>
      <c r="B27" s="7">
        <v>4045485</v>
      </c>
      <c r="C27" s="20">
        <v>19.057199781971427</v>
      </c>
      <c r="D27" s="7">
        <v>347971.93699999998</v>
      </c>
      <c r="E27" s="6">
        <v>63</v>
      </c>
      <c r="F27" s="21">
        <v>0.71499999999999997</v>
      </c>
      <c r="G27" s="21">
        <v>11.262</v>
      </c>
    </row>
    <row r="28" spans="1:7" x14ac:dyDescent="0.3">
      <c r="A28" s="1">
        <v>44621</v>
      </c>
      <c r="B28" s="7">
        <v>4207763</v>
      </c>
      <c r="C28" s="20">
        <v>23.67433365214492</v>
      </c>
      <c r="D28" s="7">
        <v>246589.87</v>
      </c>
      <c r="E28" s="6">
        <v>63</v>
      </c>
      <c r="F28" s="21">
        <v>0.71499999999999997</v>
      </c>
      <c r="G28" s="21">
        <v>11.262</v>
      </c>
    </row>
    <row r="29" spans="1:7" x14ac:dyDescent="0.3">
      <c r="A29" s="1">
        <v>44652</v>
      </c>
      <c r="B29" s="7">
        <v>7482576</v>
      </c>
      <c r="C29" s="20">
        <v>23.716573649967142</v>
      </c>
      <c r="D29" s="7">
        <v>467833.85499999998</v>
      </c>
      <c r="E29" s="6">
        <v>63</v>
      </c>
      <c r="F29" s="21">
        <v>0.71499999999999997</v>
      </c>
      <c r="G29" s="21">
        <v>11.262</v>
      </c>
    </row>
    <row r="30" spans="1:7" x14ac:dyDescent="0.3">
      <c r="A30" s="1">
        <v>44682</v>
      </c>
      <c r="B30" s="7">
        <v>6894434</v>
      </c>
      <c r="C30" s="20">
        <v>24.875480373293172</v>
      </c>
      <c r="D30" s="7">
        <v>406039.88</v>
      </c>
      <c r="E30" s="6">
        <v>63</v>
      </c>
      <c r="F30" s="21">
        <v>0.71499999999999997</v>
      </c>
      <c r="G30" s="21">
        <v>11.262</v>
      </c>
    </row>
    <row r="31" spans="1:7" x14ac:dyDescent="0.3">
      <c r="A31" s="1">
        <v>44713</v>
      </c>
      <c r="B31" s="7">
        <v>9486471</v>
      </c>
      <c r="C31" s="20">
        <v>25.380314287640953</v>
      </c>
      <c r="D31" s="7">
        <v>564267.05200000003</v>
      </c>
      <c r="E31" s="6">
        <v>63</v>
      </c>
      <c r="F31" s="21">
        <v>0.71499999999999997</v>
      </c>
      <c r="G31" s="21">
        <v>11.262</v>
      </c>
    </row>
    <row r="32" spans="1:7" x14ac:dyDescent="0.3">
      <c r="A32" s="1">
        <v>44743</v>
      </c>
      <c r="B32" s="7">
        <v>11679670</v>
      </c>
      <c r="C32" s="20">
        <v>27.000417992604763</v>
      </c>
      <c r="D32" s="7">
        <v>665960.1</v>
      </c>
      <c r="E32" s="6">
        <v>63</v>
      </c>
      <c r="F32" s="21">
        <v>0.79159999999999997</v>
      </c>
      <c r="G32" s="21">
        <v>15.832000000000001</v>
      </c>
    </row>
    <row r="33" spans="1:7" x14ac:dyDescent="0.3">
      <c r="A33" s="1">
        <v>44774</v>
      </c>
      <c r="B33" s="7">
        <v>8812947</v>
      </c>
      <c r="C33" s="20">
        <v>27.100438605780159</v>
      </c>
      <c r="D33" s="7">
        <v>480888.33600000001</v>
      </c>
      <c r="E33" s="6">
        <v>63</v>
      </c>
      <c r="F33" s="21">
        <v>0.79159999999999997</v>
      </c>
      <c r="G33" s="21">
        <v>15.832000000000001</v>
      </c>
    </row>
    <row r="34" spans="1:7" x14ac:dyDescent="0.3">
      <c r="A34" s="1">
        <v>44805</v>
      </c>
      <c r="B34" s="7">
        <v>8449034</v>
      </c>
      <c r="C34" s="20">
        <v>29.009546422203808</v>
      </c>
      <c r="D34" s="7">
        <v>443888.89</v>
      </c>
      <c r="E34" s="6">
        <v>63</v>
      </c>
      <c r="F34" s="21">
        <v>0.79159999999999997</v>
      </c>
      <c r="G34" s="21">
        <v>15.832000000000001</v>
      </c>
    </row>
    <row r="35" spans="1:7" x14ac:dyDescent="0.3">
      <c r="A35" s="1">
        <v>44835</v>
      </c>
      <c r="B35" s="7">
        <v>10234725</v>
      </c>
      <c r="C35" s="20">
        <v>29.004858129310954</v>
      </c>
      <c r="D35" s="7">
        <v>530544.38300000003</v>
      </c>
      <c r="E35" s="6">
        <v>63</v>
      </c>
      <c r="F35" s="21">
        <v>0.79159999999999997</v>
      </c>
      <c r="G35" s="21">
        <v>15.832000000000001</v>
      </c>
    </row>
    <row r="36" spans="1:7" x14ac:dyDescent="0.3">
      <c r="A36" s="1">
        <v>44866</v>
      </c>
      <c r="B36" s="7">
        <v>12154549</v>
      </c>
      <c r="C36" s="20">
        <v>29.038361160911428</v>
      </c>
      <c r="D36" s="7">
        <v>640997.11300000001</v>
      </c>
      <c r="E36" s="6">
        <v>63</v>
      </c>
      <c r="F36" s="21">
        <v>0.79159999999999997</v>
      </c>
      <c r="G36" s="21">
        <v>15.832000000000001</v>
      </c>
    </row>
    <row r="37" spans="1:7" x14ac:dyDescent="0.3">
      <c r="A37" s="1">
        <v>44896</v>
      </c>
      <c r="B37" s="7">
        <v>8658278.1658799946</v>
      </c>
      <c r="C37" s="20">
        <v>31.181700086290157</v>
      </c>
      <c r="D37" s="7">
        <v>407495.20299999998</v>
      </c>
      <c r="E37" s="6">
        <v>63</v>
      </c>
      <c r="F37" s="21">
        <v>0.79159999999999997</v>
      </c>
      <c r="G37" s="21">
        <v>15.832000000000001</v>
      </c>
    </row>
    <row r="38" spans="1:7" x14ac:dyDescent="0.3">
      <c r="A38" s="1">
        <v>44927</v>
      </c>
      <c r="B38" s="7">
        <v>13024276</v>
      </c>
      <c r="C38" s="20">
        <v>31.147001487193108</v>
      </c>
      <c r="D38" s="7">
        <v>617199.98</v>
      </c>
      <c r="E38" s="6">
        <v>63</v>
      </c>
      <c r="F38" s="21">
        <v>0.79159999999999997</v>
      </c>
      <c r="G38" s="21">
        <v>19.222000000000001</v>
      </c>
    </row>
    <row r="39" spans="1:7" x14ac:dyDescent="0.3">
      <c r="A39" s="1">
        <v>44958</v>
      </c>
      <c r="B39" s="7">
        <v>12452875</v>
      </c>
      <c r="C39" s="20">
        <v>30.998748123878794</v>
      </c>
      <c r="D39" s="7">
        <v>614240.51899999997</v>
      </c>
      <c r="E39" s="6">
        <v>63</v>
      </c>
      <c r="F39" s="21">
        <v>0.96179999999999999</v>
      </c>
      <c r="G39" s="21">
        <v>19.222000000000001</v>
      </c>
    </row>
    <row r="40" spans="1:7" x14ac:dyDescent="0.3">
      <c r="A40" s="1">
        <v>44986</v>
      </c>
      <c r="B40" s="7">
        <v>5454955</v>
      </c>
      <c r="C40" s="20">
        <v>34.603241298015753</v>
      </c>
      <c r="D40" s="7">
        <v>228575.95699999999</v>
      </c>
      <c r="E40" s="6">
        <v>63</v>
      </c>
      <c r="F40" s="21">
        <v>0.96179999999999999</v>
      </c>
      <c r="G40" s="21">
        <v>19.222000000000001</v>
      </c>
    </row>
    <row r="41" spans="1:7" x14ac:dyDescent="0.3">
      <c r="A41" s="1">
        <v>45017</v>
      </c>
      <c r="B41" s="7">
        <v>9605774</v>
      </c>
      <c r="C41" s="20">
        <v>34.274895396868047</v>
      </c>
      <c r="D41" s="7">
        <v>418040.95799999998</v>
      </c>
      <c r="E41" s="6">
        <v>63</v>
      </c>
      <c r="F41" s="21">
        <v>0.96179999999999999</v>
      </c>
      <c r="G41" s="21">
        <v>19.222000000000001</v>
      </c>
    </row>
    <row r="42" spans="1:7" x14ac:dyDescent="0.3">
      <c r="A42" s="1">
        <v>45047</v>
      </c>
      <c r="B42" s="7">
        <v>10960981</v>
      </c>
      <c r="C42" s="20">
        <v>34.200542834958334</v>
      </c>
      <c r="D42" s="7">
        <v>477181.755</v>
      </c>
      <c r="E42" s="6">
        <v>63</v>
      </c>
      <c r="F42" s="21">
        <v>0.96179999999999999</v>
      </c>
      <c r="G42" s="21">
        <v>19.222000000000001</v>
      </c>
    </row>
    <row r="43" spans="1:7" x14ac:dyDescent="0.3">
      <c r="A43" s="1">
        <v>45078</v>
      </c>
      <c r="B43" s="7">
        <v>16769944</v>
      </c>
      <c r="C43" s="20">
        <v>34.156683948743463</v>
      </c>
      <c r="D43" s="7">
        <v>734170.47199999995</v>
      </c>
      <c r="E43" s="6">
        <v>63</v>
      </c>
      <c r="F43" s="21">
        <v>0.96179999999999999</v>
      </c>
      <c r="G43" s="21">
        <v>19.222000000000001</v>
      </c>
    </row>
    <row r="44" spans="1:7" x14ac:dyDescent="0.3">
      <c r="A44" s="1">
        <v>45108</v>
      </c>
      <c r="B44" s="7">
        <v>16992492</v>
      </c>
      <c r="C44" s="20">
        <v>35.358806234117417</v>
      </c>
      <c r="D44" s="7">
        <v>731590.73199999996</v>
      </c>
      <c r="E44" s="6">
        <v>63</v>
      </c>
      <c r="F44" s="21">
        <v>0.96179999999999999</v>
      </c>
      <c r="G44" s="21">
        <v>22.228000000000002</v>
      </c>
    </row>
    <row r="45" spans="1:7" x14ac:dyDescent="0.3">
      <c r="A45" s="1">
        <v>45139</v>
      </c>
      <c r="B45" s="7">
        <v>16774939.999999998</v>
      </c>
      <c r="C45" s="20">
        <v>40.120646370435132</v>
      </c>
      <c r="D45" s="7">
        <v>619774.09199999995</v>
      </c>
      <c r="E45" s="6">
        <v>63</v>
      </c>
      <c r="F45" s="21">
        <v>1.1043000000000001</v>
      </c>
      <c r="G45" s="21">
        <v>22.228000000000002</v>
      </c>
    </row>
    <row r="46" spans="1:7" x14ac:dyDescent="0.3">
      <c r="A46" s="1">
        <v>45170</v>
      </c>
      <c r="B46" s="7">
        <v>18143229</v>
      </c>
      <c r="C46" s="20">
        <v>44.131885202359825</v>
      </c>
      <c r="D46" s="7">
        <v>623877.71100000001</v>
      </c>
      <c r="E46" s="6">
        <v>63</v>
      </c>
      <c r="F46" s="21">
        <v>1.1043000000000001</v>
      </c>
      <c r="G46" s="21">
        <v>22.228000000000002</v>
      </c>
    </row>
    <row r="47" spans="1:7" x14ac:dyDescent="0.3">
      <c r="A47" s="1">
        <v>45200</v>
      </c>
      <c r="B47" s="7">
        <v>17860691</v>
      </c>
      <c r="C47" s="20">
        <v>46.008402006277407</v>
      </c>
      <c r="D47" s="7">
        <v>580350.55599999998</v>
      </c>
      <c r="E47" s="6">
        <v>63</v>
      </c>
      <c r="F47" s="21">
        <v>1.1043000000000001</v>
      </c>
      <c r="G47" s="21">
        <v>22.228000000000002</v>
      </c>
    </row>
    <row r="48" spans="1:7" x14ac:dyDescent="0.3">
      <c r="A48" s="1">
        <v>45231</v>
      </c>
      <c r="B48" s="7">
        <v>19580575</v>
      </c>
      <c r="C48" s="20">
        <v>49.050978489411087</v>
      </c>
      <c r="D48" s="7">
        <v>594766.80000000005</v>
      </c>
      <c r="E48" s="6">
        <v>63</v>
      </c>
      <c r="F48" s="21">
        <v>1.1043000000000001</v>
      </c>
      <c r="G48" s="21">
        <v>22.228000000000002</v>
      </c>
    </row>
    <row r="49" spans="1:7" x14ac:dyDescent="0.3">
      <c r="A49" s="1">
        <v>45261</v>
      </c>
      <c r="B49" s="7">
        <v>18970665</v>
      </c>
      <c r="C49" s="20">
        <v>49.985282951419158</v>
      </c>
      <c r="D49" s="7">
        <v>604929.81400000001</v>
      </c>
      <c r="E49" s="6">
        <v>63</v>
      </c>
      <c r="F49" s="21">
        <v>1.1043000000000001</v>
      </c>
      <c r="G49" s="21">
        <v>22.228000000000002</v>
      </c>
    </row>
    <row r="50" spans="1:7" x14ac:dyDescent="0.3">
      <c r="A50" s="1">
        <v>45292</v>
      </c>
      <c r="B50" s="7">
        <v>27633781.145799998</v>
      </c>
      <c r="C50" s="20">
        <v>53.338927105845414</v>
      </c>
      <c r="D50" s="7">
        <v>782507.902</v>
      </c>
      <c r="E50" s="6">
        <v>63</v>
      </c>
      <c r="F50" s="21">
        <v>1.1043000000000001</v>
      </c>
      <c r="G50" s="21">
        <v>28.498000000000001</v>
      </c>
    </row>
    <row r="51" spans="1:7" x14ac:dyDescent="0.3">
      <c r="A51" s="1">
        <v>45323</v>
      </c>
      <c r="B51" s="7">
        <v>15703031.084410001</v>
      </c>
      <c r="C51" s="20">
        <v>54.840112083733693</v>
      </c>
      <c r="D51" s="7">
        <v>423145.99</v>
      </c>
      <c r="E51" s="6">
        <v>63</v>
      </c>
      <c r="F51" s="21">
        <v>4.8057999999999996</v>
      </c>
      <c r="G51" s="21">
        <v>28.498000000000001</v>
      </c>
    </row>
    <row r="52" spans="1:7" x14ac:dyDescent="0.3">
      <c r="A52" s="1">
        <v>45352</v>
      </c>
      <c r="B52" s="7">
        <v>14372940.833130002</v>
      </c>
      <c r="C52" s="20">
        <v>55.896158701664319</v>
      </c>
      <c r="D52" s="7">
        <v>388437.375</v>
      </c>
      <c r="E52" s="6">
        <v>63</v>
      </c>
      <c r="F52" s="21">
        <v>4.8057999999999996</v>
      </c>
      <c r="G52" s="21">
        <v>28.498000000000001</v>
      </c>
    </row>
    <row r="53" spans="1:7" x14ac:dyDescent="0.3">
      <c r="A53" s="1">
        <v>45383</v>
      </c>
      <c r="B53" s="7">
        <v>26384479.736620001</v>
      </c>
      <c r="C53" s="20">
        <v>56.112151456453482</v>
      </c>
      <c r="D53" s="7">
        <v>714100.76899999997</v>
      </c>
      <c r="E53" s="6">
        <v>63</v>
      </c>
      <c r="F53" s="21">
        <v>4.8057999999999996</v>
      </c>
      <c r="G53" s="21">
        <v>28.498000000000001</v>
      </c>
    </row>
    <row r="54" spans="1:7" x14ac:dyDescent="0.3">
      <c r="A54" s="1">
        <v>45413</v>
      </c>
      <c r="B54" s="7">
        <v>24304193.104719996</v>
      </c>
      <c r="C54" s="20">
        <v>55.756825076726507</v>
      </c>
      <c r="D54" s="7">
        <v>659603.19499999995</v>
      </c>
      <c r="E54" s="6">
        <v>63</v>
      </c>
      <c r="F54" s="21">
        <v>4.8057999999999996</v>
      </c>
      <c r="G54" s="21">
        <v>28.498000000000001</v>
      </c>
    </row>
    <row r="55" spans="1:7" x14ac:dyDescent="0.3">
      <c r="A55" s="1">
        <v>45444</v>
      </c>
      <c r="B55" s="7">
        <v>18486672.411210001</v>
      </c>
      <c r="C55" s="20">
        <v>62.563980420230571</v>
      </c>
      <c r="D55" s="7">
        <v>456102.87800000003</v>
      </c>
      <c r="E55" s="6">
        <v>63</v>
      </c>
      <c r="F55" s="21">
        <v>4.8057999999999996</v>
      </c>
      <c r="G55" s="21">
        <v>28.498000000000001</v>
      </c>
    </row>
    <row r="56" spans="1:7" x14ac:dyDescent="0.3">
      <c r="A56" s="1">
        <v>45474</v>
      </c>
      <c r="B56" s="7">
        <v>32910303.630370006</v>
      </c>
      <c r="C56" s="20">
        <v>64.741668539722369</v>
      </c>
      <c r="D56" s="7">
        <v>790531.05099999998</v>
      </c>
      <c r="E56" s="6">
        <v>63</v>
      </c>
      <c r="F56" s="21">
        <v>4.8057999999999996</v>
      </c>
      <c r="G56" s="21">
        <v>34.052</v>
      </c>
    </row>
    <row r="57" spans="1:7" x14ac:dyDescent="0.3">
      <c r="A57" s="1">
        <v>45505</v>
      </c>
      <c r="B57" s="7">
        <v>32831048.304619994</v>
      </c>
      <c r="C57" s="20">
        <v>63.970347671845957</v>
      </c>
      <c r="D57" s="7">
        <v>775584.41399999999</v>
      </c>
      <c r="E57" s="6">
        <v>63</v>
      </c>
      <c r="F57" s="21">
        <v>5.7426000000000004</v>
      </c>
      <c r="G57" s="21">
        <v>34.052</v>
      </c>
    </row>
    <row r="58" spans="1:7" x14ac:dyDescent="0.3">
      <c r="A58" s="1">
        <v>45536</v>
      </c>
      <c r="B58" s="7">
        <v>28204412.349629998</v>
      </c>
      <c r="C58" s="20">
        <v>65.972099491323561</v>
      </c>
      <c r="D58" s="7">
        <v>599737.125</v>
      </c>
      <c r="E58" s="6">
        <v>57</v>
      </c>
      <c r="F58" s="21">
        <v>7.8</v>
      </c>
      <c r="G58" s="21">
        <v>34.052</v>
      </c>
    </row>
    <row r="59" spans="1:7" x14ac:dyDescent="0.3">
      <c r="A59" s="1">
        <v>45566</v>
      </c>
      <c r="B59" s="7">
        <v>31714969.566159993</v>
      </c>
      <c r="C59" s="20">
        <v>67.822402387934929</v>
      </c>
      <c r="D59" s="7">
        <v>705488.97499999998</v>
      </c>
      <c r="E59" s="6">
        <v>57</v>
      </c>
      <c r="F59" s="21">
        <v>7.8</v>
      </c>
      <c r="G59" s="21">
        <v>34.052</v>
      </c>
    </row>
    <row r="60" spans="1:7" x14ac:dyDescent="0.3">
      <c r="A60" s="1">
        <v>45597</v>
      </c>
      <c r="B60" s="7">
        <v>29818738.945859998</v>
      </c>
      <c r="C60" s="20">
        <v>74.824830199743971</v>
      </c>
      <c r="D60" s="7">
        <v>625937.97</v>
      </c>
      <c r="E60" s="6">
        <v>57</v>
      </c>
      <c r="F60" s="21">
        <v>7.8</v>
      </c>
      <c r="G60" s="21">
        <v>34.052</v>
      </c>
    </row>
    <row r="61" spans="1:7" x14ac:dyDescent="0.3">
      <c r="A61" s="1">
        <v>45627</v>
      </c>
      <c r="B61" s="7">
        <v>26885952.575869977</v>
      </c>
      <c r="C61" s="20">
        <v>74.777942125855873</v>
      </c>
      <c r="D61" s="7">
        <v>555871.90800000005</v>
      </c>
      <c r="E61" s="6">
        <v>53.5</v>
      </c>
      <c r="F61" s="21">
        <v>7.8</v>
      </c>
      <c r="G61" s="21">
        <v>34.052</v>
      </c>
    </row>
    <row r="62" spans="1:7" x14ac:dyDescent="0.3">
      <c r="A62" s="1">
        <v>45658</v>
      </c>
      <c r="B62" s="7">
        <v>34539618.827430002</v>
      </c>
      <c r="C62" s="20">
        <v>74.35069269766214</v>
      </c>
      <c r="D62" s="7">
        <v>731953.55500000005</v>
      </c>
      <c r="E62" s="6">
        <v>50</v>
      </c>
      <c r="F62" s="21">
        <v>7.8</v>
      </c>
      <c r="G62" s="21">
        <v>36.625999999999998</v>
      </c>
    </row>
    <row r="63" spans="1:7" x14ac:dyDescent="0.3">
      <c r="A63" s="1">
        <v>45689</v>
      </c>
      <c r="B63" s="7">
        <v>35769648.717220001</v>
      </c>
      <c r="C63" s="20">
        <v>72.940214674053166</v>
      </c>
      <c r="D63" s="7">
        <v>765161.4</v>
      </c>
      <c r="E63" s="6">
        <v>50</v>
      </c>
      <c r="F63" s="21">
        <v>8.3895</v>
      </c>
      <c r="G63" s="21">
        <v>36.625999999999998</v>
      </c>
    </row>
    <row r="64" spans="1:7" x14ac:dyDescent="0.3">
      <c r="A64" s="1">
        <v>45717</v>
      </c>
      <c r="B64" s="7">
        <v>23410098.224380001</v>
      </c>
      <c r="C64" s="20">
        <v>80.304955736589818</v>
      </c>
      <c r="D64" s="7">
        <v>494185.15</v>
      </c>
      <c r="E64" s="6">
        <v>50</v>
      </c>
      <c r="F64" s="21">
        <v>8.3895</v>
      </c>
      <c r="G64" s="21">
        <v>36.625999999999998</v>
      </c>
    </row>
    <row r="65" spans="1:7" x14ac:dyDescent="0.3">
      <c r="A65" s="1">
        <v>45748</v>
      </c>
      <c r="B65" s="7">
        <v>29467624.719269991</v>
      </c>
      <c r="C65" s="20">
        <v>76.202902249082939</v>
      </c>
      <c r="D65" s="7">
        <v>616993.69999999995</v>
      </c>
      <c r="E65" s="6">
        <v>50</v>
      </c>
      <c r="F65" s="21">
        <v>10.5</v>
      </c>
      <c r="G65" s="21">
        <v>36.625999999999998</v>
      </c>
    </row>
    <row r="66" spans="1:7" x14ac:dyDescent="0.3">
      <c r="A66" s="1">
        <v>45778</v>
      </c>
      <c r="B66" s="7">
        <v>24716878.530990005</v>
      </c>
      <c r="C66" s="20">
        <v>82.947529656736521</v>
      </c>
      <c r="D66" s="7">
        <v>468148.94799999997</v>
      </c>
      <c r="E66" s="6">
        <v>50</v>
      </c>
      <c r="F66" s="21">
        <v>10.5</v>
      </c>
      <c r="G66" s="21">
        <v>36.625999999999998</v>
      </c>
    </row>
    <row r="67" spans="1:7" x14ac:dyDescent="0.3">
      <c r="A67" s="1">
        <v>45809</v>
      </c>
      <c r="B67" s="7">
        <v>36233243.623979986</v>
      </c>
      <c r="C67" s="20">
        <v>82.230002492855789</v>
      </c>
      <c r="D67" s="7">
        <v>731025.04200000002</v>
      </c>
      <c r="E67" s="6">
        <v>50</v>
      </c>
      <c r="F67" s="21">
        <v>10.5</v>
      </c>
      <c r="G67" s="21">
        <v>36.625999999999998</v>
      </c>
    </row>
    <row r="68" spans="1:7" x14ac:dyDescent="0.3">
      <c r="A68" s="1">
        <v>45839</v>
      </c>
      <c r="B68" s="7">
        <v>42297445.430450022</v>
      </c>
      <c r="C68" s="20">
        <v>82.631179568917801</v>
      </c>
      <c r="D68" s="7">
        <v>813359.91099999996</v>
      </c>
      <c r="E68" s="6">
        <v>50</v>
      </c>
      <c r="F68" s="21">
        <v>10.5</v>
      </c>
      <c r="G68" s="21">
        <v>36.625999999999998</v>
      </c>
    </row>
    <row r="69" spans="1:7" x14ac:dyDescent="0.3">
      <c r="A69" s="1">
        <v>45870</v>
      </c>
      <c r="B69" s="7">
        <v>49355170.089729995</v>
      </c>
      <c r="C69" s="20">
        <v>82.525893722873064</v>
      </c>
      <c r="D69" s="7">
        <v>933221.11399999994</v>
      </c>
      <c r="E69" s="6">
        <v>50</v>
      </c>
      <c r="F69" s="21">
        <v>12.149100000000001</v>
      </c>
      <c r="G69" s="21">
        <v>36.625999999999998</v>
      </c>
    </row>
    <row r="70" spans="1:7" x14ac:dyDescent="0.3">
      <c r="A70" s="1">
        <v>45901</v>
      </c>
      <c r="B70" s="7">
        <v>31183615.184909999</v>
      </c>
      <c r="C70" s="20">
        <v>90.723534598726559</v>
      </c>
      <c r="D70" s="7">
        <v>536850.25</v>
      </c>
      <c r="E70" s="6">
        <v>50</v>
      </c>
      <c r="F70" s="21">
        <v>12.149100000000001</v>
      </c>
      <c r="G70" s="21">
        <v>36.625999999999998</v>
      </c>
    </row>
    <row r="71" spans="1:7" x14ac:dyDescent="0.3">
      <c r="A71" s="1">
        <v>45931</v>
      </c>
      <c r="B71" s="7">
        <v>43282021.229860008</v>
      </c>
      <c r="C71" s="20">
        <v>92.435918637920423</v>
      </c>
      <c r="D71" s="7">
        <v>734132.32200000004</v>
      </c>
      <c r="E71" s="6">
        <v>45</v>
      </c>
      <c r="F71" s="21">
        <v>12.149100000000001</v>
      </c>
      <c r="G71" s="21">
        <v>39.5</v>
      </c>
    </row>
    <row r="72" spans="1:7" x14ac:dyDescent="0.3">
      <c r="A72" s="1">
        <v>45962</v>
      </c>
      <c r="B72" s="7">
        <v>46168323.591430008</v>
      </c>
      <c r="C72" s="20">
        <v>92.213050700621181</v>
      </c>
      <c r="D72" s="7">
        <v>785825.875</v>
      </c>
      <c r="E72" s="6">
        <v>45</v>
      </c>
      <c r="F72" s="21">
        <v>12.149100000000001</v>
      </c>
      <c r="G72" s="21">
        <v>39.5</v>
      </c>
    </row>
    <row r="73" spans="1:7" x14ac:dyDescent="0.3">
      <c r="A73" s="1">
        <v>45992</v>
      </c>
      <c r="B73" s="7">
        <v>32272264.962390006</v>
      </c>
      <c r="C73" s="20">
        <v>98.002110551545385</v>
      </c>
      <c r="D73" s="7">
        <v>531700.826</v>
      </c>
      <c r="E73" s="6">
        <v>45</v>
      </c>
      <c r="F73" s="21">
        <v>16</v>
      </c>
      <c r="G73" s="21">
        <v>39.5</v>
      </c>
    </row>
    <row r="74" spans="1:7" x14ac:dyDescent="0.3">
      <c r="A74" s="1">
        <v>46023</v>
      </c>
      <c r="B74" s="7">
        <v>44141474.084859997</v>
      </c>
      <c r="C74" s="20">
        <v>97.164740481171549</v>
      </c>
      <c r="D74" s="7">
        <v>814081.85800000001</v>
      </c>
      <c r="E74" s="6">
        <v>45</v>
      </c>
      <c r="F74" s="21">
        <v>16</v>
      </c>
      <c r="G74" s="21">
        <v>39.5</v>
      </c>
    </row>
    <row r="75" spans="1:7" x14ac:dyDescent="0.3">
      <c r="A75" s="1">
        <v>46054</v>
      </c>
      <c r="B75" s="7">
        <v>45379560.752169997</v>
      </c>
      <c r="C75" s="20">
        <v>97.408049975411785</v>
      </c>
      <c r="D75" s="7">
        <v>735165.01100000006</v>
      </c>
      <c r="E75" s="6">
        <v>45</v>
      </c>
      <c r="F75" s="21">
        <v>17.271999999999998</v>
      </c>
      <c r="G75" s="21">
        <v>39.5</v>
      </c>
    </row>
    <row r="76" spans="1:7" x14ac:dyDescent="0.3">
      <c r="A76" s="1">
        <v>46082</v>
      </c>
      <c r="B76" s="7">
        <v>46780375.587449998</v>
      </c>
      <c r="C76" s="20">
        <v>97.494345344652672</v>
      </c>
      <c r="D76" s="7">
        <v>760890.95799999998</v>
      </c>
      <c r="E76" s="6">
        <v>45</v>
      </c>
      <c r="F76" s="21">
        <v>17.271999999999998</v>
      </c>
      <c r="G76" s="21">
        <v>39.5</v>
      </c>
    </row>
    <row r="77" spans="1:7" x14ac:dyDescent="0.3">
      <c r="A77" s="1">
        <v>46113</v>
      </c>
      <c r="B77" s="7">
        <v>28301074.176349998</v>
      </c>
      <c r="C77" s="20">
        <v>107.50811645638089</v>
      </c>
      <c r="D77" s="7">
        <v>426687.75</v>
      </c>
      <c r="E77" s="6">
        <v>45</v>
      </c>
      <c r="F77" s="21">
        <v>17.271999999999998</v>
      </c>
      <c r="G77" s="21">
        <v>39.5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T99"/>
  <sheetViews>
    <sheetView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E26" sqref="E26"/>
    </sheetView>
  </sheetViews>
  <sheetFormatPr defaultRowHeight="14.4" x14ac:dyDescent="0.3"/>
  <cols>
    <col min="1" max="1" width="11.33203125" customWidth="1"/>
    <col min="2" max="4" width="22" bestFit="1" customWidth="1"/>
    <col min="5" max="5" width="22" style="3" customWidth="1"/>
    <col min="6" max="7" width="22" bestFit="1" customWidth="1"/>
    <col min="8" max="8" width="19.109375" bestFit="1" customWidth="1"/>
    <col min="9" max="9" width="17.44140625" bestFit="1" customWidth="1"/>
  </cols>
  <sheetData>
    <row r="1" spans="1:20" ht="41.25" customHeight="1" x14ac:dyDescent="0.3">
      <c r="A1" s="12" t="s">
        <v>0</v>
      </c>
      <c r="B1" s="12" t="s">
        <v>18</v>
      </c>
      <c r="C1" s="12" t="s">
        <v>24</v>
      </c>
      <c r="D1" s="12" t="s">
        <v>25</v>
      </c>
      <c r="E1" s="12" t="s">
        <v>26</v>
      </c>
      <c r="F1" s="12" t="s">
        <v>27</v>
      </c>
      <c r="G1" s="12" t="s">
        <v>28</v>
      </c>
      <c r="H1" s="12" t="s">
        <v>29</v>
      </c>
      <c r="I1" s="2"/>
    </row>
    <row r="2" spans="1:20" x14ac:dyDescent="0.3">
      <c r="A2" s="1">
        <v>43831</v>
      </c>
      <c r="B2" s="7">
        <v>874776</v>
      </c>
      <c r="C2" s="7">
        <v>14304</v>
      </c>
      <c r="D2" s="7">
        <v>102063.80387583893</v>
      </c>
      <c r="E2" s="9">
        <v>54.398468718272454</v>
      </c>
      <c r="F2" s="7"/>
      <c r="G2" s="7"/>
      <c r="H2" s="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">
      <c r="A3" s="1">
        <v>43862</v>
      </c>
      <c r="B3" s="7">
        <v>1879150</v>
      </c>
      <c r="C3" s="7">
        <v>30414</v>
      </c>
      <c r="D3" s="7">
        <v>103200.70774117183</v>
      </c>
      <c r="E3" s="9">
        <v>56.994047061551377</v>
      </c>
      <c r="F3" s="7"/>
      <c r="G3" s="7"/>
      <c r="H3" s="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3">
      <c r="A4" s="1">
        <v>43891</v>
      </c>
      <c r="B4" s="7">
        <v>2353394</v>
      </c>
      <c r="C4" s="7">
        <v>34180</v>
      </c>
      <c r="D4" s="7">
        <v>107754.28881275593</v>
      </c>
      <c r="E4" s="9">
        <v>59.491528275580471</v>
      </c>
      <c r="F4" s="7"/>
      <c r="G4" s="7"/>
      <c r="H4" s="9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x14ac:dyDescent="0.3">
      <c r="A5" s="1">
        <v>43922</v>
      </c>
      <c r="B5" s="7">
        <v>1309107</v>
      </c>
      <c r="C5" s="7">
        <v>15857</v>
      </c>
      <c r="D5" s="7">
        <v>117575.6616383931</v>
      </c>
      <c r="E5" s="9">
        <v>64.454042512701065</v>
      </c>
      <c r="F5" s="7"/>
      <c r="G5" s="7"/>
      <c r="H5" s="9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3">
      <c r="A6" s="1">
        <v>43952</v>
      </c>
      <c r="B6" s="7">
        <v>1432387</v>
      </c>
      <c r="C6" s="7">
        <v>19463</v>
      </c>
      <c r="D6" s="7">
        <v>111434.89823305757</v>
      </c>
      <c r="E6" s="9">
        <v>61.394137815841908</v>
      </c>
      <c r="F6" s="7"/>
      <c r="G6" s="7"/>
      <c r="H6" s="9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3">
      <c r="A7" s="1">
        <v>43983</v>
      </c>
      <c r="B7" s="7">
        <v>3254128</v>
      </c>
      <c r="C7" s="7">
        <v>46704</v>
      </c>
      <c r="D7" s="7">
        <v>110513.54935530141</v>
      </c>
      <c r="E7" s="9">
        <v>59.854145234262802</v>
      </c>
      <c r="F7" s="7"/>
      <c r="G7" s="7"/>
      <c r="H7" s="9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3">
      <c r="A8" s="1">
        <v>44013</v>
      </c>
      <c r="B8" s="7">
        <v>4966047</v>
      </c>
      <c r="C8" s="7">
        <v>65730</v>
      </c>
      <c r="D8" s="7">
        <v>115305.49446843143</v>
      </c>
      <c r="E8" s="9">
        <v>61.382049387341745</v>
      </c>
      <c r="F8" s="7"/>
      <c r="G8" s="7"/>
      <c r="H8" s="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x14ac:dyDescent="0.3">
      <c r="A9" s="1">
        <v>44044</v>
      </c>
      <c r="B9" s="7">
        <v>3832862</v>
      </c>
      <c r="C9" s="7">
        <v>44799</v>
      </c>
      <c r="D9" s="7">
        <v>129366.70377530747</v>
      </c>
      <c r="E9" s="9">
        <v>61.723244775116427</v>
      </c>
      <c r="F9" s="7"/>
      <c r="G9" s="7"/>
      <c r="H9" s="9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x14ac:dyDescent="0.3">
      <c r="A10" s="1">
        <v>44075</v>
      </c>
      <c r="B10" s="7">
        <v>5302344</v>
      </c>
      <c r="C10" s="7">
        <v>61388</v>
      </c>
      <c r="D10" s="7">
        <v>121724.27589349715</v>
      </c>
      <c r="E10" s="9">
        <v>67.082988431405425</v>
      </c>
      <c r="F10" s="7"/>
      <c r="G10" s="7"/>
      <c r="H10" s="9"/>
      <c r="I10" s="3"/>
    </row>
    <row r="11" spans="1:20" x14ac:dyDescent="0.3">
      <c r="A11" s="1">
        <v>44105</v>
      </c>
      <c r="B11" s="7">
        <v>6620455</v>
      </c>
      <c r="C11" s="7">
        <v>66077</v>
      </c>
      <c r="D11" s="7">
        <v>135065.39165624944</v>
      </c>
      <c r="E11" s="9">
        <v>71.272240836580394</v>
      </c>
      <c r="F11" s="7"/>
      <c r="G11" s="7"/>
      <c r="H11" s="9"/>
    </row>
    <row r="12" spans="1:20" x14ac:dyDescent="0.3">
      <c r="A12" s="1">
        <v>44136</v>
      </c>
      <c r="B12" s="7">
        <v>6617364</v>
      </c>
      <c r="C12" s="7">
        <v>57995</v>
      </c>
      <c r="D12" s="7">
        <v>144507.2979720665</v>
      </c>
      <c r="E12" s="9">
        <v>74.091718305598448</v>
      </c>
      <c r="F12" s="7"/>
      <c r="G12" s="7"/>
      <c r="H12" s="9"/>
    </row>
    <row r="13" spans="1:20" x14ac:dyDescent="0.3">
      <c r="A13" s="1">
        <v>44166</v>
      </c>
      <c r="B13" s="7">
        <v>8154282</v>
      </c>
      <c r="C13" s="7">
        <v>75970</v>
      </c>
      <c r="D13" s="7">
        <v>142982.04170290899</v>
      </c>
      <c r="E13" s="9">
        <v>70.267401802256785</v>
      </c>
      <c r="F13" s="7"/>
      <c r="G13" s="7"/>
      <c r="H13" s="9"/>
    </row>
    <row r="14" spans="1:20" x14ac:dyDescent="0.3">
      <c r="A14" s="1">
        <v>44197</v>
      </c>
      <c r="B14" s="7">
        <v>3367737</v>
      </c>
      <c r="C14" s="7">
        <v>30154</v>
      </c>
      <c r="D14" s="7">
        <v>143237.60109902488</v>
      </c>
      <c r="E14" s="9">
        <v>71.830694632666592</v>
      </c>
      <c r="F14" s="7"/>
      <c r="G14" s="7"/>
      <c r="H14" s="9"/>
    </row>
    <row r="15" spans="1:20" x14ac:dyDescent="0.3">
      <c r="A15" s="1">
        <v>44228</v>
      </c>
      <c r="B15" s="7">
        <v>3745531</v>
      </c>
      <c r="C15" s="7">
        <v>34347</v>
      </c>
      <c r="D15" s="7">
        <v>140931.87152968219</v>
      </c>
      <c r="E15" s="9">
        <v>71.169752325477347</v>
      </c>
      <c r="F15" s="7"/>
      <c r="G15" s="7"/>
      <c r="H15" s="9"/>
    </row>
    <row r="16" spans="1:20" x14ac:dyDescent="0.3">
      <c r="A16" s="1">
        <v>44256</v>
      </c>
      <c r="B16" s="7">
        <v>8060824</v>
      </c>
      <c r="C16" s="7">
        <v>74956</v>
      </c>
      <c r="D16" s="7">
        <v>142273.34583462297</v>
      </c>
      <c r="E16" s="9">
        <v>71.020978025055797</v>
      </c>
      <c r="F16" s="7"/>
      <c r="G16" s="7"/>
      <c r="H16" s="9"/>
    </row>
    <row r="17" spans="1:8" x14ac:dyDescent="0.3">
      <c r="A17" s="1">
        <v>44287</v>
      </c>
      <c r="B17" s="7">
        <v>4908421</v>
      </c>
      <c r="C17" s="7">
        <v>41424</v>
      </c>
      <c r="D17" s="7">
        <v>148779.91338861489</v>
      </c>
      <c r="E17" s="9">
        <v>72.332185191471112</v>
      </c>
      <c r="F17" s="7"/>
      <c r="G17" s="7"/>
      <c r="H17" s="9"/>
    </row>
    <row r="18" spans="1:8" x14ac:dyDescent="0.3">
      <c r="A18" s="1">
        <v>44317</v>
      </c>
      <c r="B18" s="7">
        <v>4258872</v>
      </c>
      <c r="C18" s="7">
        <v>35536</v>
      </c>
      <c r="D18" s="7">
        <v>152165.75421882042</v>
      </c>
      <c r="E18" s="9">
        <v>72.733340519157068</v>
      </c>
      <c r="F18" s="7"/>
      <c r="G18" s="7"/>
      <c r="H18" s="9"/>
    </row>
    <row r="19" spans="1:8" x14ac:dyDescent="0.3">
      <c r="A19" s="1">
        <v>44348</v>
      </c>
      <c r="B19" s="7">
        <v>6883879</v>
      </c>
      <c r="C19" s="7">
        <v>55521</v>
      </c>
      <c r="D19" s="7">
        <v>156383.03361953143</v>
      </c>
      <c r="E19" s="9">
        <v>73.535834109118994</v>
      </c>
      <c r="F19" s="7"/>
      <c r="G19" s="7"/>
      <c r="H19" s="9"/>
    </row>
    <row r="20" spans="1:8" x14ac:dyDescent="0.3">
      <c r="A20" s="1">
        <v>44378</v>
      </c>
      <c r="B20" s="7">
        <v>4614322</v>
      </c>
      <c r="C20" s="7">
        <v>36666</v>
      </c>
      <c r="D20" s="7">
        <v>155796.43297223575</v>
      </c>
      <c r="E20" s="9">
        <v>74.072149262965482</v>
      </c>
      <c r="F20" s="7"/>
      <c r="G20" s="7"/>
      <c r="H20" s="9"/>
    </row>
    <row r="21" spans="1:8" x14ac:dyDescent="0.3">
      <c r="A21" s="1">
        <v>44409</v>
      </c>
      <c r="B21" s="7">
        <v>5135492</v>
      </c>
      <c r="C21" s="7">
        <v>39591</v>
      </c>
      <c r="D21" s="7">
        <v>163335.64638200638</v>
      </c>
      <c r="E21" s="9">
        <v>73.773163991410058</v>
      </c>
      <c r="F21" s="7"/>
      <c r="G21" s="7"/>
      <c r="H21" s="9"/>
    </row>
    <row r="22" spans="1:8" x14ac:dyDescent="0.3">
      <c r="A22" s="1">
        <v>44440</v>
      </c>
      <c r="B22" s="7">
        <v>5008234</v>
      </c>
      <c r="C22" s="7">
        <v>38790</v>
      </c>
      <c r="D22" s="7">
        <v>162211.59705284867</v>
      </c>
      <c r="E22" s="9">
        <v>72.583563200870842</v>
      </c>
      <c r="F22" s="7"/>
      <c r="G22" s="7"/>
      <c r="H22" s="9"/>
    </row>
    <row r="23" spans="1:8" x14ac:dyDescent="0.3">
      <c r="A23" s="1">
        <v>44470</v>
      </c>
      <c r="B23" s="7">
        <v>5268833</v>
      </c>
      <c r="C23" s="7">
        <v>38591</v>
      </c>
      <c r="D23" s="7">
        <v>169638.8003236503</v>
      </c>
      <c r="E23" s="9">
        <v>75.419798459223244</v>
      </c>
      <c r="F23" s="7"/>
      <c r="G23" s="7"/>
      <c r="H23" s="9"/>
    </row>
    <row r="24" spans="1:8" x14ac:dyDescent="0.3">
      <c r="A24" s="1">
        <v>44501</v>
      </c>
      <c r="B24" s="7">
        <v>6486860</v>
      </c>
      <c r="C24" s="7">
        <v>38682</v>
      </c>
      <c r="D24" s="7">
        <v>192289.37085310993</v>
      </c>
      <c r="E24" s="9">
        <v>78.587042058141805</v>
      </c>
      <c r="F24" s="7"/>
      <c r="G24" s="7"/>
      <c r="H24" s="9"/>
    </row>
    <row r="25" spans="1:8" x14ac:dyDescent="0.3">
      <c r="A25" s="1">
        <v>44531</v>
      </c>
      <c r="B25" s="7">
        <v>8632880</v>
      </c>
      <c r="C25" s="7">
        <v>41192</v>
      </c>
      <c r="D25" s="7">
        <v>230358.86383885215</v>
      </c>
      <c r="E25" s="9">
        <v>83.37954032241764</v>
      </c>
      <c r="F25" s="7"/>
      <c r="G25" s="7"/>
      <c r="H25" s="9"/>
    </row>
    <row r="26" spans="1:8" x14ac:dyDescent="0.3">
      <c r="A26" s="1">
        <v>44562</v>
      </c>
      <c r="B26" s="7">
        <v>4243585</v>
      </c>
      <c r="C26" s="7">
        <v>20179</v>
      </c>
      <c r="D26" s="7">
        <v>236829.93930819171</v>
      </c>
      <c r="E26" s="9">
        <v>78.848887530334096</v>
      </c>
      <c r="F26" s="7">
        <v>206</v>
      </c>
      <c r="G26" s="7">
        <v>659078.6248058253</v>
      </c>
      <c r="H26" s="9">
        <v>48.061299866404241</v>
      </c>
    </row>
    <row r="27" spans="1:8" x14ac:dyDescent="0.3">
      <c r="A27" s="1">
        <v>44593</v>
      </c>
      <c r="B27" s="7">
        <v>6567367</v>
      </c>
      <c r="C27" s="7">
        <v>26887</v>
      </c>
      <c r="D27" s="7">
        <v>273632.98791795305</v>
      </c>
      <c r="E27" s="9">
        <v>82.104950094582918</v>
      </c>
      <c r="F27" s="7">
        <v>339</v>
      </c>
      <c r="G27" s="7">
        <v>969271.84696165216</v>
      </c>
      <c r="H27" s="9">
        <v>53.047635234334059</v>
      </c>
    </row>
    <row r="28" spans="1:8" x14ac:dyDescent="0.3">
      <c r="A28" s="1">
        <v>44621</v>
      </c>
      <c r="B28" s="7">
        <v>10701541</v>
      </c>
      <c r="C28" s="7">
        <v>40305</v>
      </c>
      <c r="D28" s="7">
        <v>284007.50148046156</v>
      </c>
      <c r="E28" s="9">
        <v>84.070647378762047</v>
      </c>
      <c r="F28" s="7">
        <v>707</v>
      </c>
      <c r="G28" s="7">
        <v>973717.35080622346</v>
      </c>
      <c r="H28" s="9">
        <v>51.457184291551187</v>
      </c>
    </row>
    <row r="29" spans="1:8" x14ac:dyDescent="0.3">
      <c r="A29" s="1">
        <v>44652</v>
      </c>
      <c r="B29" s="7">
        <v>11071910</v>
      </c>
      <c r="C29" s="7">
        <v>41603</v>
      </c>
      <c r="D29" s="7">
        <v>287092.46688075369</v>
      </c>
      <c r="E29" s="9">
        <v>84.975597245654583</v>
      </c>
      <c r="F29" s="7">
        <v>344</v>
      </c>
      <c r="G29" s="7">
        <v>1147284.4917441863</v>
      </c>
      <c r="H29" s="9">
        <v>56.141272131597674</v>
      </c>
    </row>
    <row r="30" spans="1:8" x14ac:dyDescent="0.3">
      <c r="A30" s="1">
        <v>44682</v>
      </c>
      <c r="B30" s="7">
        <v>12631882</v>
      </c>
      <c r="C30" s="7">
        <v>43828</v>
      </c>
      <c r="D30" s="7">
        <v>305342.55866614939</v>
      </c>
      <c r="E30" s="9">
        <v>87.64819206964944</v>
      </c>
      <c r="F30" s="7">
        <v>444</v>
      </c>
      <c r="G30" s="7">
        <v>1172349.5041666664</v>
      </c>
      <c r="H30" s="9">
        <v>56.405738108456319</v>
      </c>
    </row>
    <row r="31" spans="1:8" x14ac:dyDescent="0.3">
      <c r="A31" s="1">
        <v>44713</v>
      </c>
      <c r="B31" s="7">
        <v>15373270</v>
      </c>
      <c r="C31" s="7">
        <v>50067</v>
      </c>
      <c r="D31" s="7">
        <v>331091.26980625966</v>
      </c>
      <c r="E31" s="9">
        <v>86.418026040236711</v>
      </c>
      <c r="F31" s="7">
        <v>488</v>
      </c>
      <c r="G31" s="7">
        <v>987974.66590163938</v>
      </c>
      <c r="H31" s="9">
        <v>49.393020568313631</v>
      </c>
    </row>
    <row r="32" spans="1:8" x14ac:dyDescent="0.3">
      <c r="A32" s="1">
        <v>44743</v>
      </c>
      <c r="B32" s="7">
        <v>11585770</v>
      </c>
      <c r="C32" s="7">
        <v>35545</v>
      </c>
      <c r="D32" s="7">
        <v>347223.28646926477</v>
      </c>
      <c r="E32" s="9">
        <v>85.291704927239053</v>
      </c>
      <c r="F32" s="7">
        <v>386</v>
      </c>
      <c r="G32" s="7">
        <v>998320.53207253886</v>
      </c>
      <c r="H32" s="9">
        <v>44.174405868336855</v>
      </c>
    </row>
    <row r="33" spans="1:8" x14ac:dyDescent="0.3">
      <c r="A33" s="1">
        <v>44774</v>
      </c>
      <c r="B33" s="7">
        <v>14683871</v>
      </c>
      <c r="C33" s="7">
        <v>38732</v>
      </c>
      <c r="D33" s="7">
        <v>375500.03934524412</v>
      </c>
      <c r="E33" s="9">
        <v>90.057237431022543</v>
      </c>
      <c r="F33" s="7">
        <v>761</v>
      </c>
      <c r="G33" s="7">
        <v>1401202.2596714844</v>
      </c>
      <c r="H33" s="9">
        <v>52.989616450894282</v>
      </c>
    </row>
    <row r="34" spans="1:8" x14ac:dyDescent="0.3">
      <c r="A34" s="1">
        <v>44805</v>
      </c>
      <c r="B34" s="7">
        <v>14630509</v>
      </c>
      <c r="C34" s="7">
        <v>36788</v>
      </c>
      <c r="D34" s="7">
        <v>391069.76453707728</v>
      </c>
      <c r="E34" s="9">
        <v>89.58031484690737</v>
      </c>
      <c r="F34" s="7">
        <v>885</v>
      </c>
      <c r="G34" s="7">
        <v>1372784.2540225987</v>
      </c>
      <c r="H34" s="9">
        <v>54.734136754272825</v>
      </c>
    </row>
    <row r="35" spans="1:8" x14ac:dyDescent="0.3">
      <c r="A35" s="1">
        <v>44835</v>
      </c>
      <c r="B35" s="7">
        <v>16430080.999999998</v>
      </c>
      <c r="C35" s="7">
        <v>40670</v>
      </c>
      <c r="D35" s="7">
        <v>401529.76280231145</v>
      </c>
      <c r="E35" s="9">
        <v>89.244292547658645</v>
      </c>
      <c r="F35" s="7">
        <v>1080</v>
      </c>
      <c r="G35" s="7">
        <v>1289504.2194722216</v>
      </c>
      <c r="H35" s="9">
        <v>50.570516089814546</v>
      </c>
    </row>
    <row r="36" spans="1:8" x14ac:dyDescent="0.3">
      <c r="A36" s="1">
        <v>44866</v>
      </c>
      <c r="B36" s="7">
        <v>20387235</v>
      </c>
      <c r="C36" s="7">
        <v>52396</v>
      </c>
      <c r="D36" s="7">
        <v>390958.00529735116</v>
      </c>
      <c r="E36" s="9">
        <v>87.333912930433925</v>
      </c>
      <c r="F36" s="7">
        <v>1540</v>
      </c>
      <c r="G36" s="7">
        <v>1231092.8065714284</v>
      </c>
      <c r="H36" s="9">
        <v>51.92271327278155</v>
      </c>
    </row>
    <row r="37" spans="1:8" x14ac:dyDescent="0.3">
      <c r="A37" s="1">
        <v>44896</v>
      </c>
      <c r="B37" s="7">
        <v>28834597.876569986</v>
      </c>
      <c r="C37" s="7">
        <v>81700</v>
      </c>
      <c r="D37" s="7">
        <v>378785.49295018369</v>
      </c>
      <c r="E37" s="9">
        <v>83.563688827539679</v>
      </c>
      <c r="F37" s="7">
        <v>1602</v>
      </c>
      <c r="G37" s="7">
        <v>1291504.8654806493</v>
      </c>
      <c r="H37" s="9">
        <v>56.918932148008608</v>
      </c>
    </row>
    <row r="38" spans="1:8" x14ac:dyDescent="0.3">
      <c r="A38" s="1">
        <v>44927</v>
      </c>
      <c r="B38" s="7">
        <v>15032592</v>
      </c>
      <c r="C38" s="7">
        <v>41619</v>
      </c>
      <c r="D38" s="7">
        <v>370139.3913018087</v>
      </c>
      <c r="E38" s="9">
        <v>83.064413954946644</v>
      </c>
      <c r="F38" s="7">
        <v>1168</v>
      </c>
      <c r="G38" s="7">
        <v>1246994.0667294522</v>
      </c>
      <c r="H38" s="9">
        <v>55.738261832850085</v>
      </c>
    </row>
    <row r="39" spans="1:8" x14ac:dyDescent="0.3">
      <c r="A39" s="1">
        <v>44958</v>
      </c>
      <c r="B39" s="7">
        <v>18012487</v>
      </c>
      <c r="C39" s="7">
        <v>43252</v>
      </c>
      <c r="D39" s="7">
        <v>437037.77380861028</v>
      </c>
      <c r="E39" s="9">
        <v>84.674016924990283</v>
      </c>
      <c r="F39" s="7">
        <v>1307</v>
      </c>
      <c r="G39" s="7">
        <v>1080095.7080489669</v>
      </c>
      <c r="H39" s="9">
        <v>46.980375322422823</v>
      </c>
    </row>
    <row r="40" spans="1:8" x14ac:dyDescent="0.3">
      <c r="A40" s="1">
        <v>44986</v>
      </c>
      <c r="B40" s="7">
        <v>28766017</v>
      </c>
      <c r="C40" s="7">
        <v>63179</v>
      </c>
      <c r="D40" s="7">
        <v>460489.1145776292</v>
      </c>
      <c r="E40" s="9">
        <v>87.270946461072981</v>
      </c>
      <c r="F40" s="7">
        <v>2073</v>
      </c>
      <c r="G40" s="7">
        <v>1126742.6321273518</v>
      </c>
      <c r="H40" s="9">
        <v>45.581606866236399</v>
      </c>
    </row>
    <row r="41" spans="1:8" x14ac:dyDescent="0.3">
      <c r="A41" s="1">
        <v>45017</v>
      </c>
      <c r="B41" s="7">
        <v>28302487</v>
      </c>
      <c r="C41" s="7">
        <v>58402</v>
      </c>
      <c r="D41" s="7">
        <v>493741.40295041265</v>
      </c>
      <c r="E41" s="9">
        <v>90.215924705461532</v>
      </c>
      <c r="F41" s="7">
        <v>1972</v>
      </c>
      <c r="G41" s="7">
        <v>1189488.3093356991</v>
      </c>
      <c r="H41" s="9">
        <v>46.312973790202228</v>
      </c>
    </row>
    <row r="42" spans="1:8" x14ac:dyDescent="0.3">
      <c r="A42" s="1">
        <v>45047</v>
      </c>
      <c r="B42" s="7">
        <v>34985898</v>
      </c>
      <c r="C42" s="7">
        <v>73236</v>
      </c>
      <c r="D42" s="7">
        <v>480223.86437954073</v>
      </c>
      <c r="E42" s="9">
        <v>85.948655501658536</v>
      </c>
      <c r="F42" s="7">
        <v>3155</v>
      </c>
      <c r="G42" s="7">
        <v>1112074.2873755938</v>
      </c>
      <c r="H42" s="9">
        <v>47.827440377210408</v>
      </c>
    </row>
    <row r="43" spans="1:8" x14ac:dyDescent="0.3">
      <c r="A43" s="1">
        <v>45078</v>
      </c>
      <c r="B43" s="7">
        <v>38953744</v>
      </c>
      <c r="C43" s="7">
        <v>77007</v>
      </c>
      <c r="D43" s="7">
        <v>518767.58088758157</v>
      </c>
      <c r="E43" s="9">
        <v>86.644969577392899</v>
      </c>
      <c r="F43" s="7">
        <v>4551</v>
      </c>
      <c r="G43" s="7">
        <v>1105587.8052669733</v>
      </c>
      <c r="H43" s="9">
        <v>43.358587095852904</v>
      </c>
    </row>
    <row r="44" spans="1:8" x14ac:dyDescent="0.3">
      <c r="A44" s="1">
        <v>45108</v>
      </c>
      <c r="B44" s="7">
        <v>45703662</v>
      </c>
      <c r="C44" s="7">
        <v>77605</v>
      </c>
      <c r="D44" s="7">
        <v>612449.87487094942</v>
      </c>
      <c r="E44" s="9">
        <v>87.286436588000896</v>
      </c>
      <c r="F44" s="7">
        <v>4293</v>
      </c>
      <c r="G44" s="7">
        <v>1153924.1360330775</v>
      </c>
      <c r="H44" s="9">
        <v>35.195460476690272</v>
      </c>
    </row>
    <row r="45" spans="1:8" x14ac:dyDescent="0.3">
      <c r="A45" s="1">
        <v>45139</v>
      </c>
      <c r="B45" s="7">
        <v>46906211</v>
      </c>
      <c r="C45" s="7">
        <v>59226</v>
      </c>
      <c r="D45" s="7">
        <v>713361.17522659048</v>
      </c>
      <c r="E45" s="9">
        <v>89.440612489113064</v>
      </c>
      <c r="F45" s="7">
        <v>10160</v>
      </c>
      <c r="G45" s="7">
        <v>1305819.5446594493</v>
      </c>
      <c r="H45" s="9">
        <v>39.355479128123676</v>
      </c>
    </row>
    <row r="46" spans="1:8" x14ac:dyDescent="0.3">
      <c r="A46" s="1">
        <v>45170</v>
      </c>
      <c r="B46" s="7">
        <v>40824216</v>
      </c>
      <c r="C46" s="7">
        <v>52425</v>
      </c>
      <c r="D46" s="7">
        <v>711048.70691902679</v>
      </c>
      <c r="E46" s="9">
        <v>89.351490813297033</v>
      </c>
      <c r="F46" s="7">
        <v>8489</v>
      </c>
      <c r="G46" s="7">
        <v>1331731.3674496412</v>
      </c>
      <c r="H46" s="9">
        <v>37.055074541246981</v>
      </c>
    </row>
    <row r="47" spans="1:8" x14ac:dyDescent="0.3">
      <c r="A47" s="1">
        <v>45200</v>
      </c>
      <c r="B47" s="7">
        <v>39640189</v>
      </c>
      <c r="C47" s="7">
        <v>56054</v>
      </c>
      <c r="D47" s="7">
        <v>673569.35138152412</v>
      </c>
      <c r="E47" s="9">
        <v>90.007512084043313</v>
      </c>
      <c r="F47" s="7">
        <v>8704</v>
      </c>
      <c r="G47" s="7">
        <v>1304958.3384076282</v>
      </c>
      <c r="H47" s="9">
        <v>27.408559217523166</v>
      </c>
    </row>
    <row r="48" spans="1:8" x14ac:dyDescent="0.3">
      <c r="A48" s="1">
        <v>45231</v>
      </c>
      <c r="B48" s="7">
        <v>42642499</v>
      </c>
      <c r="C48" s="7">
        <v>62514</v>
      </c>
      <c r="D48" s="7">
        <v>655023.97671817604</v>
      </c>
      <c r="E48" s="9">
        <v>88.780640663956291</v>
      </c>
      <c r="F48" s="7">
        <v>10770</v>
      </c>
      <c r="G48" s="7">
        <v>1291370.331159703</v>
      </c>
      <c r="H48" s="9">
        <v>26.899843012360325</v>
      </c>
    </row>
    <row r="49" spans="1:8" x14ac:dyDescent="0.3">
      <c r="A49" s="1">
        <v>45261</v>
      </c>
      <c r="B49" s="7">
        <v>61463733</v>
      </c>
      <c r="C49" s="7">
        <v>96299</v>
      </c>
      <c r="D49" s="7">
        <v>645130.2220056277</v>
      </c>
      <c r="E49" s="9">
        <v>88.488688130391765</v>
      </c>
      <c r="F49" s="7">
        <v>11993</v>
      </c>
      <c r="G49" s="7">
        <v>1385111.5413466182</v>
      </c>
      <c r="H49" s="9">
        <v>24.188547231769096</v>
      </c>
    </row>
    <row r="50" spans="1:8" x14ac:dyDescent="0.3">
      <c r="A50" s="1">
        <v>45292</v>
      </c>
      <c r="B50" s="7">
        <v>28692872.174490001</v>
      </c>
      <c r="C50" s="7">
        <v>41323</v>
      </c>
      <c r="D50" s="7">
        <v>640814.69391283405</v>
      </c>
      <c r="E50" s="9">
        <v>90.418285136453406</v>
      </c>
      <c r="F50" s="7">
        <v>4136</v>
      </c>
      <c r="G50" s="7">
        <v>1465590.00847679</v>
      </c>
      <c r="H50" s="9">
        <v>24.759145000189601</v>
      </c>
    </row>
    <row r="51" spans="1:8" x14ac:dyDescent="0.3">
      <c r="A51" s="1">
        <v>45323</v>
      </c>
      <c r="B51" s="7">
        <v>34018054.478729993</v>
      </c>
      <c r="C51" s="7">
        <v>51012</v>
      </c>
      <c r="D51" s="7">
        <v>678952.87568003603</v>
      </c>
      <c r="E51" s="9">
        <v>89.930383714008499</v>
      </c>
      <c r="F51" s="7">
        <v>4367</v>
      </c>
      <c r="G51" s="7">
        <v>1528505.11881383</v>
      </c>
      <c r="H51" s="9">
        <v>28.6251121164482</v>
      </c>
    </row>
    <row r="52" spans="1:8" x14ac:dyDescent="0.3">
      <c r="A52" s="1">
        <v>45352</v>
      </c>
      <c r="B52" s="7">
        <v>41686652.616909996</v>
      </c>
      <c r="C52" s="7">
        <v>59559</v>
      </c>
      <c r="D52" s="7">
        <v>687253.17014053301</v>
      </c>
      <c r="E52" s="9">
        <v>89.040099251121603</v>
      </c>
      <c r="F52" s="7">
        <v>6109</v>
      </c>
      <c r="G52" s="7">
        <v>1463514.6285775099</v>
      </c>
      <c r="H52" s="9">
        <v>25.931844213262998</v>
      </c>
    </row>
    <row r="53" spans="1:8" x14ac:dyDescent="0.3">
      <c r="A53" s="1">
        <v>45383</v>
      </c>
      <c r="B53" s="7">
        <v>31832155.79110001</v>
      </c>
      <c r="C53" s="7">
        <v>40057</v>
      </c>
      <c r="D53" s="7">
        <v>746905.272713135</v>
      </c>
      <c r="E53" s="9">
        <v>89.343036111365194</v>
      </c>
      <c r="F53" s="7">
        <v>6016</v>
      </c>
      <c r="G53" s="7">
        <v>1446997.3498105099</v>
      </c>
      <c r="H53" s="9">
        <v>18.085759520917101</v>
      </c>
    </row>
    <row r="54" spans="1:8" x14ac:dyDescent="0.3">
      <c r="A54" s="1">
        <v>45413</v>
      </c>
      <c r="B54" s="7">
        <v>44889390.94859001</v>
      </c>
      <c r="C54" s="7">
        <v>65399</v>
      </c>
      <c r="D54" s="7">
        <v>697205.45589641901</v>
      </c>
      <c r="E54" s="9">
        <v>88.031270757939893</v>
      </c>
      <c r="F54" s="7">
        <v>7525</v>
      </c>
      <c r="G54" s="7">
        <v>1463512.36690631</v>
      </c>
      <c r="H54" s="9">
        <v>17.992585957297401</v>
      </c>
    </row>
    <row r="55" spans="1:8" x14ac:dyDescent="0.3">
      <c r="A55" s="1">
        <v>45444</v>
      </c>
      <c r="B55" s="7">
        <v>44068423.659069985</v>
      </c>
      <c r="C55" s="7">
        <v>67622</v>
      </c>
      <c r="D55" s="7">
        <v>675118.96341072395</v>
      </c>
      <c r="E55" s="9">
        <v>87.578329592038799</v>
      </c>
      <c r="F55" s="7">
        <v>8049</v>
      </c>
      <c r="G55" s="7">
        <v>1427623.6073971901</v>
      </c>
      <c r="H55" s="9">
        <v>16.773894612997498</v>
      </c>
    </row>
    <row r="56" spans="1:8" x14ac:dyDescent="0.3">
      <c r="A56" s="1">
        <v>45474</v>
      </c>
      <c r="B56" s="7">
        <v>48940922.166149974</v>
      </c>
      <c r="C56" s="7">
        <v>66761</v>
      </c>
      <c r="D56" s="7">
        <v>714646.00903431606</v>
      </c>
      <c r="E56" s="9">
        <v>87.509231259062105</v>
      </c>
      <c r="F56" s="7">
        <v>7345</v>
      </c>
      <c r="G56" s="7">
        <v>1334384.33761198</v>
      </c>
      <c r="H56" s="9">
        <v>18.818387006095399</v>
      </c>
    </row>
    <row r="57" spans="1:8" x14ac:dyDescent="0.3">
      <c r="A57" s="1">
        <v>45505</v>
      </c>
      <c r="B57" s="7">
        <v>37188548.350630045</v>
      </c>
      <c r="C57" s="7">
        <v>45224</v>
      </c>
      <c r="D57" s="7">
        <v>813591.72473421204</v>
      </c>
      <c r="E57" s="9">
        <v>91.0556193372515</v>
      </c>
      <c r="F57" s="7">
        <v>5810</v>
      </c>
      <c r="G57" s="7">
        <v>1422149.3930722901</v>
      </c>
      <c r="H57" s="9">
        <v>21.558862158406601</v>
      </c>
    </row>
    <row r="58" spans="1:8" x14ac:dyDescent="0.3">
      <c r="A58" s="1">
        <v>45536</v>
      </c>
      <c r="B58" s="7">
        <v>38459675.825089991</v>
      </c>
      <c r="C58" s="7">
        <v>43734</v>
      </c>
      <c r="D58" s="7">
        <v>838932.70421891497</v>
      </c>
      <c r="E58" s="9">
        <v>89.2902154962282</v>
      </c>
      <c r="F58" s="7">
        <v>8548</v>
      </c>
      <c r="G58" s="7">
        <v>1450789.5869583499</v>
      </c>
      <c r="H58" s="9">
        <v>18.001916481625798</v>
      </c>
    </row>
    <row r="59" spans="1:8" x14ac:dyDescent="0.3">
      <c r="A59" s="1">
        <v>45566</v>
      </c>
      <c r="B59" s="7">
        <v>45735337.171729982</v>
      </c>
      <c r="C59" s="7">
        <v>55065</v>
      </c>
      <c r="D59" s="7">
        <v>836476.05383292504</v>
      </c>
      <c r="E59" s="9">
        <v>87.295285883389198</v>
      </c>
      <c r="F59" s="7">
        <v>8565</v>
      </c>
      <c r="G59" s="7">
        <v>1464063.1829748999</v>
      </c>
      <c r="H59" s="9">
        <v>18.610998146340801</v>
      </c>
    </row>
    <row r="60" spans="1:8" x14ac:dyDescent="0.3">
      <c r="A60" s="1">
        <v>45597</v>
      </c>
      <c r="B60" s="7">
        <v>52227932.702530026</v>
      </c>
      <c r="C60" s="7">
        <v>64157</v>
      </c>
      <c r="D60" s="7">
        <v>831912.66369795997</v>
      </c>
      <c r="E60" s="9">
        <v>87.882270511814497</v>
      </c>
      <c r="F60" s="7">
        <v>13044</v>
      </c>
      <c r="G60" s="7">
        <v>1485238.50442502</v>
      </c>
      <c r="H60" s="9">
        <v>18.323047144586301</v>
      </c>
    </row>
    <row r="61" spans="1:8" x14ac:dyDescent="0.3">
      <c r="A61" s="1">
        <v>45627</v>
      </c>
      <c r="B61" s="7">
        <v>89848488.681049943</v>
      </c>
      <c r="C61" s="7">
        <v>111073</v>
      </c>
      <c r="D61" s="7">
        <v>824552.49632331799</v>
      </c>
      <c r="E61" s="9">
        <v>84.618877745000802</v>
      </c>
      <c r="F61" s="7">
        <v>21266</v>
      </c>
      <c r="G61" s="7">
        <v>1460068.6385963501</v>
      </c>
      <c r="H61" s="9">
        <v>19.625823069026399</v>
      </c>
    </row>
    <row r="62" spans="1:8" x14ac:dyDescent="0.3">
      <c r="A62" s="1">
        <v>45658</v>
      </c>
      <c r="B62" s="7">
        <v>37694092.328369997</v>
      </c>
      <c r="C62" s="7">
        <v>46563</v>
      </c>
      <c r="D62" s="7">
        <v>843947.74832807202</v>
      </c>
      <c r="E62" s="9">
        <v>84.344411176498397</v>
      </c>
      <c r="F62" s="7">
        <v>7197</v>
      </c>
      <c r="G62" s="7">
        <v>1442153.10181603</v>
      </c>
      <c r="H62" s="9">
        <v>19.649331034596099</v>
      </c>
    </row>
    <row r="63" spans="1:8" x14ac:dyDescent="0.3">
      <c r="A63" s="1">
        <v>45689</v>
      </c>
      <c r="B63" s="7">
        <v>42717671.314000003</v>
      </c>
      <c r="C63" s="7">
        <v>55230</v>
      </c>
      <c r="D63" s="7">
        <v>865290.94716910995</v>
      </c>
      <c r="E63" s="9">
        <v>83.812072703772898</v>
      </c>
      <c r="F63" s="7">
        <v>9100</v>
      </c>
      <c r="G63" s="7">
        <v>1459527.0451022</v>
      </c>
      <c r="H63" s="9">
        <v>16.4176431188456</v>
      </c>
    </row>
    <row r="64" spans="1:8" x14ac:dyDescent="0.3">
      <c r="A64" s="1">
        <v>45717</v>
      </c>
      <c r="B64" s="7">
        <v>60942332.089279994</v>
      </c>
      <c r="C64" s="7">
        <v>73566</v>
      </c>
      <c r="D64" s="7">
        <v>892215.96400198305</v>
      </c>
      <c r="E64" s="9">
        <v>83.569092810847494</v>
      </c>
      <c r="F64" s="7">
        <v>12642</v>
      </c>
      <c r="G64" s="7">
        <v>1459036.5087786701</v>
      </c>
      <c r="H64" s="9">
        <v>18.251027415125801</v>
      </c>
    </row>
    <row r="65" spans="1:8" x14ac:dyDescent="0.3">
      <c r="A65" s="1">
        <v>45748</v>
      </c>
      <c r="B65" s="7">
        <v>58767376.562840015</v>
      </c>
      <c r="C65" s="7">
        <v>65233</v>
      </c>
      <c r="D65" s="7">
        <v>933843.689283952</v>
      </c>
      <c r="E65" s="9">
        <v>83.060418261160507</v>
      </c>
      <c r="F65" s="7">
        <v>12168</v>
      </c>
      <c r="G65" s="7">
        <v>1480064.8510585099</v>
      </c>
      <c r="H65" s="9">
        <v>19.3193411134075</v>
      </c>
    </row>
    <row r="66" spans="1:8" x14ac:dyDescent="0.3">
      <c r="A66" s="1">
        <v>45778</v>
      </c>
      <c r="B66" s="7">
        <v>54255574.068699986</v>
      </c>
      <c r="C66" s="7">
        <v>59803</v>
      </c>
      <c r="D66" s="7">
        <v>938980.96397003403</v>
      </c>
      <c r="E66" s="9">
        <v>83.815434562549498</v>
      </c>
      <c r="F66" s="7">
        <v>16175</v>
      </c>
      <c r="G66" s="7">
        <v>1484064.56973725</v>
      </c>
      <c r="H66" s="9">
        <v>18.0250593120088</v>
      </c>
    </row>
    <row r="67" spans="1:8" x14ac:dyDescent="0.3">
      <c r="A67" s="1">
        <v>45809</v>
      </c>
      <c r="B67" s="7">
        <v>60937429.969389975</v>
      </c>
      <c r="C67" s="7">
        <v>63006</v>
      </c>
      <c r="D67" s="7">
        <v>968392.73273894505</v>
      </c>
      <c r="E67" s="9">
        <v>82.634992698046403</v>
      </c>
      <c r="F67" s="7">
        <v>25527</v>
      </c>
      <c r="G67" s="7">
        <v>1446553.2164089</v>
      </c>
      <c r="H67" s="9">
        <v>16.726838311344601</v>
      </c>
    </row>
    <row r="68" spans="1:8" x14ac:dyDescent="0.3">
      <c r="A68" s="1">
        <v>45839</v>
      </c>
      <c r="B68" s="7">
        <v>61704591.050420046</v>
      </c>
      <c r="C68" s="7">
        <v>62683</v>
      </c>
      <c r="D68" s="7">
        <v>964381.51943541202</v>
      </c>
      <c r="E68" s="9">
        <v>84.422542014141897</v>
      </c>
      <c r="F68" s="7">
        <v>17611</v>
      </c>
      <c r="G68" s="7">
        <v>1442613.0017965999</v>
      </c>
      <c r="H68" s="9">
        <v>21.2029971338069</v>
      </c>
    </row>
    <row r="69" spans="1:8" x14ac:dyDescent="0.3">
      <c r="A69" s="1">
        <v>45870</v>
      </c>
      <c r="B69" s="7">
        <v>65691786.218230017</v>
      </c>
      <c r="C69" s="7">
        <v>66875</v>
      </c>
      <c r="D69" s="7">
        <v>948311.53023760603</v>
      </c>
      <c r="E69" s="9">
        <v>85.844815860891401</v>
      </c>
      <c r="F69" s="7">
        <v>17627</v>
      </c>
      <c r="G69" s="7">
        <v>1521735.7169660199</v>
      </c>
      <c r="H69" s="9">
        <v>30.0866039241651</v>
      </c>
    </row>
    <row r="70" spans="1:8" x14ac:dyDescent="0.3">
      <c r="A70" s="1">
        <v>45901</v>
      </c>
      <c r="B70" s="7">
        <v>67581314.916369975</v>
      </c>
      <c r="C70" s="7">
        <v>65233</v>
      </c>
      <c r="D70" s="7">
        <v>997076.85664571496</v>
      </c>
      <c r="E70" s="9">
        <v>86.671828181941393</v>
      </c>
      <c r="F70" s="7">
        <v>11872</v>
      </c>
      <c r="G70" s="7">
        <v>1520386.7663670799</v>
      </c>
      <c r="H70" s="9">
        <v>31.6735500174726</v>
      </c>
    </row>
    <row r="71" spans="1:8" x14ac:dyDescent="0.3">
      <c r="A71" s="1">
        <v>45931</v>
      </c>
      <c r="B71" s="7">
        <v>67535664.91670996</v>
      </c>
      <c r="C71" s="7">
        <v>68832</v>
      </c>
      <c r="D71" s="7">
        <v>987780.31975621998</v>
      </c>
      <c r="E71" s="9">
        <v>86.175795041950806</v>
      </c>
      <c r="F71" s="7">
        <v>13026</v>
      </c>
      <c r="G71" s="7">
        <v>1531393.7208928301</v>
      </c>
      <c r="H71" s="9">
        <v>32.205182284189299</v>
      </c>
    </row>
    <row r="72" spans="1:8" x14ac:dyDescent="0.3">
      <c r="A72" s="1">
        <v>45962</v>
      </c>
      <c r="B72" s="7">
        <v>77570019.375810027</v>
      </c>
      <c r="C72" s="7">
        <v>74011</v>
      </c>
      <c r="D72" s="7">
        <v>1048880.5335005601</v>
      </c>
      <c r="E72" s="9">
        <v>84.429929038505904</v>
      </c>
      <c r="F72" s="7">
        <v>17225</v>
      </c>
      <c r="G72" s="7">
        <v>1589606.8282943401</v>
      </c>
      <c r="H72" s="9">
        <v>32.345867636594299</v>
      </c>
    </row>
    <row r="73" spans="1:8" x14ac:dyDescent="0.3">
      <c r="A73" s="1">
        <v>45992</v>
      </c>
      <c r="B73" s="7">
        <v>132474182.50495003</v>
      </c>
      <c r="C73" s="7">
        <v>122168</v>
      </c>
      <c r="D73" s="7">
        <v>1040641.89020087</v>
      </c>
      <c r="E73" s="9">
        <v>85.235409031765201</v>
      </c>
      <c r="F73" s="7">
        <v>25861</v>
      </c>
      <c r="G73" s="7">
        <v>1601194.8010513899</v>
      </c>
      <c r="H73" s="9">
        <v>33.374153592692998</v>
      </c>
    </row>
    <row r="74" spans="1:8" x14ac:dyDescent="0.3">
      <c r="A74" s="1">
        <v>46023</v>
      </c>
      <c r="B74" s="7">
        <v>46649069.659120001</v>
      </c>
      <c r="C74" s="7">
        <v>45264</v>
      </c>
      <c r="D74" s="7">
        <v>1002967.94659752</v>
      </c>
      <c r="E74" s="9">
        <v>85.596114938308006</v>
      </c>
      <c r="F74" s="7">
        <v>10743</v>
      </c>
      <c r="G74" s="7">
        <v>1490464.8090924299</v>
      </c>
      <c r="H74" s="9">
        <v>30.1879622991197</v>
      </c>
    </row>
    <row r="75" spans="1:8" x14ac:dyDescent="0.3">
      <c r="A75" s="1">
        <v>46054</v>
      </c>
      <c r="B75" s="7">
        <v>44834086.846519999</v>
      </c>
      <c r="C75" s="7">
        <v>46348</v>
      </c>
      <c r="D75" s="7">
        <v>1037563.25977065</v>
      </c>
      <c r="E75" s="9">
        <v>88.334443209616794</v>
      </c>
      <c r="F75" s="7">
        <v>10996</v>
      </c>
      <c r="G75" s="7">
        <v>1624980.80517097</v>
      </c>
      <c r="H75" s="9">
        <v>33.117616037888297</v>
      </c>
    </row>
    <row r="76" spans="1:8" x14ac:dyDescent="0.3">
      <c r="A76" s="1">
        <v>46082</v>
      </c>
      <c r="B76" s="7">
        <v>68142984.735480011</v>
      </c>
      <c r="C76" s="7">
        <v>58542</v>
      </c>
      <c r="D76" s="7">
        <v>1063285.60009651</v>
      </c>
      <c r="E76" s="9">
        <v>88.846740780864195</v>
      </c>
      <c r="F76" s="7">
        <v>13889</v>
      </c>
      <c r="G76" s="7">
        <v>1621820.9006292699</v>
      </c>
      <c r="H76" s="9">
        <v>32.539560723588103</v>
      </c>
    </row>
    <row r="77" spans="1:8" x14ac:dyDescent="0.3">
      <c r="A77" s="1">
        <v>46113</v>
      </c>
      <c r="B77" s="7">
        <v>64333699.150879979</v>
      </c>
      <c r="C77" s="7">
        <v>57636</v>
      </c>
      <c r="D77" s="7">
        <v>1065021.5192535899</v>
      </c>
      <c r="E77" s="9">
        <v>88.257055990209096</v>
      </c>
      <c r="F77" s="7">
        <v>16523</v>
      </c>
      <c r="G77" s="7">
        <v>1607462.36011317</v>
      </c>
      <c r="H77" s="9">
        <v>32.806190964518699</v>
      </c>
    </row>
    <row r="78" spans="1:8" x14ac:dyDescent="0.3">
      <c r="C78" s="7"/>
      <c r="D78" s="7"/>
      <c r="F78" s="7"/>
      <c r="G78" s="7"/>
    </row>
    <row r="79" spans="1:8" x14ac:dyDescent="0.3">
      <c r="C79" s="7"/>
      <c r="D79" s="7"/>
      <c r="F79" s="7"/>
      <c r="G79" s="7"/>
    </row>
    <row r="80" spans="1:8" x14ac:dyDescent="0.3">
      <c r="C80" s="7"/>
      <c r="D80" s="7"/>
      <c r="F80" s="7"/>
      <c r="G80" s="7"/>
    </row>
    <row r="81" spans="3:7" x14ac:dyDescent="0.3">
      <c r="C81" s="7"/>
      <c r="D81" s="7"/>
      <c r="F81" s="7"/>
      <c r="G81" s="7"/>
    </row>
    <row r="82" spans="3:7" x14ac:dyDescent="0.3">
      <c r="C82" s="7"/>
      <c r="D82" s="7"/>
      <c r="F82" s="7"/>
      <c r="G82" s="7"/>
    </row>
    <row r="83" spans="3:7" x14ac:dyDescent="0.3">
      <c r="C83" s="7"/>
      <c r="D83" s="7"/>
      <c r="F83" s="7"/>
      <c r="G83" s="7"/>
    </row>
    <row r="84" spans="3:7" x14ac:dyDescent="0.3">
      <c r="C84" s="7"/>
      <c r="D84" s="7"/>
      <c r="F84" s="7"/>
      <c r="G84" s="7"/>
    </row>
    <row r="85" spans="3:7" x14ac:dyDescent="0.3">
      <c r="C85" s="7"/>
      <c r="D85" s="7"/>
      <c r="F85" s="7"/>
      <c r="G85" s="7"/>
    </row>
    <row r="86" spans="3:7" x14ac:dyDescent="0.3">
      <c r="C86" s="7"/>
      <c r="D86" s="7"/>
      <c r="F86" s="7"/>
      <c r="G86" s="7"/>
    </row>
    <row r="87" spans="3:7" x14ac:dyDescent="0.3">
      <c r="C87" s="7"/>
      <c r="D87" s="7"/>
      <c r="F87" s="7"/>
      <c r="G87" s="7"/>
    </row>
    <row r="88" spans="3:7" x14ac:dyDescent="0.3">
      <c r="C88" s="7"/>
      <c r="D88" s="7"/>
      <c r="F88" s="7"/>
      <c r="G88" s="7"/>
    </row>
    <row r="89" spans="3:7" x14ac:dyDescent="0.3">
      <c r="C89" s="7"/>
      <c r="D89" s="7"/>
      <c r="F89" s="7"/>
      <c r="G89" s="7"/>
    </row>
    <row r="90" spans="3:7" x14ac:dyDescent="0.3">
      <c r="C90" s="7"/>
      <c r="D90" s="7"/>
      <c r="F90" s="7"/>
      <c r="G90" s="7"/>
    </row>
    <row r="91" spans="3:7" x14ac:dyDescent="0.3">
      <c r="C91" s="7"/>
      <c r="D91" s="7"/>
      <c r="F91" s="7"/>
      <c r="G91" s="7"/>
    </row>
    <row r="92" spans="3:7" x14ac:dyDescent="0.3">
      <c r="C92" s="7"/>
      <c r="D92" s="7"/>
      <c r="F92" s="7"/>
      <c r="G92" s="7"/>
    </row>
    <row r="93" spans="3:7" x14ac:dyDescent="0.3">
      <c r="C93" s="7"/>
      <c r="D93" s="7"/>
      <c r="F93" s="7"/>
      <c r="G93" s="7"/>
    </row>
    <row r="94" spans="3:7" x14ac:dyDescent="0.3">
      <c r="C94" s="7"/>
      <c r="D94" s="7"/>
      <c r="F94" s="7"/>
      <c r="G94" s="7"/>
    </row>
    <row r="95" spans="3:7" x14ac:dyDescent="0.3">
      <c r="C95" s="7"/>
      <c r="D95" s="7"/>
      <c r="F95" s="7"/>
      <c r="G95" s="7"/>
    </row>
    <row r="96" spans="3:7" x14ac:dyDescent="0.3">
      <c r="C96" s="7"/>
      <c r="D96" s="7"/>
      <c r="F96" s="7"/>
      <c r="G96" s="7"/>
    </row>
    <row r="97" spans="3:7" x14ac:dyDescent="0.3">
      <c r="C97" s="7"/>
      <c r="D97" s="7"/>
      <c r="F97" s="7"/>
      <c r="G97" s="7"/>
    </row>
    <row r="98" spans="3:7" x14ac:dyDescent="0.3">
      <c r="C98" s="7"/>
      <c r="D98" s="7"/>
      <c r="F98" s="7"/>
      <c r="G98" s="7"/>
    </row>
    <row r="99" spans="3:7" x14ac:dyDescent="0.3">
      <c r="C99" s="7"/>
      <c r="D99" s="7"/>
      <c r="F99" s="7"/>
      <c r="G9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PIT</vt:lpstr>
      <vt:lpstr>CIT</vt:lpstr>
      <vt:lpstr>Import VAT</vt:lpstr>
      <vt:lpstr>Domestic VAT</vt:lpstr>
      <vt:lpstr>Petroleum SCT</vt:lpstr>
      <vt:lpstr>Tobacco SCT</vt:lpstr>
      <vt:lpstr>Motor Vehicles SCT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Kullanıcısı</dc:creator>
  <cp:lastModifiedBy>kursad_admin</cp:lastModifiedBy>
  <cp:lastPrinted>2026-06-08T10:57:55Z</cp:lastPrinted>
  <dcterms:created xsi:type="dcterms:W3CDTF">2026-06-02T08:37:18Z</dcterms:created>
  <dcterms:modified xsi:type="dcterms:W3CDTF">2026-06-11T20:52:25Z</dcterms:modified>
</cp:coreProperties>
</file>